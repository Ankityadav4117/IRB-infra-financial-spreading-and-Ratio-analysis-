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Inputs" sheetId="2" state="visible" r:id="rId4"/>
    <sheet name="Ratios" sheetId="3" state="visible" r:id="rId5"/>
    <sheet name="Projections" sheetId="4" state="visible" r:id="rId6"/>
    <sheet name="Sensi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<sst xmlns="http://schemas.openxmlformats.org/spreadsheetml/2006/main" count="410" uniqueCount="305">
  <si>
    <t xml:space="preserve">IRB Infrastructure Developers Ltd — Financial Spreading &amp; Ratio Analysis Model</t>
  </si>
  <si>
    <t xml:space="preserve">Consolidated, ₹ crore, FY2022–FY2026 actuals with FY2027E–FY2031E projections. Prepared 19 Oct 2026.</t>
  </si>
  <si>
    <t xml:space="preserve">TABS</t>
  </si>
  <si>
    <t xml:space="preserve">Inputs</t>
  </si>
  <si>
    <t xml:space="preserve">Spread of P&amp;L, balance sheet and cash-flow items for 5 years, plus parameters (days, TNW switch, benchmark thresholds).</t>
  </si>
  <si>
    <t xml:space="preserve">Ratios</t>
  </si>
  <si>
    <t xml:space="preserve">Historical DSCR, TOL/TNW, current ratio, ICR, working capital cycle and supporting credit metrics, with benchmark flags.</t>
  </si>
  <si>
    <t xml:space="preserve">Projections</t>
  </si>
  <si>
    <t xml:space="preserve">Five-year driver-based projection: P&amp;L, debt schedule, balance sheet, cash flow, ratios and integrity checks.</t>
  </si>
  <si>
    <t xml:space="preserve">Sensitivity</t>
  </si>
  <si>
    <t xml:space="preserve">Four live grids on FY2027E DSCR, ICR and TOL/TNW (revenue growth, margin, interest rate, additional borrowing).</t>
  </si>
  <si>
    <t xml:space="preserve">COLOUR LEGEND</t>
  </si>
  <si>
    <t xml:space="preserve">Blue text</t>
  </si>
  <si>
    <t xml:space="preserve">Hard-coded input or assumption — safe to overwrite.</t>
  </si>
  <si>
    <t xml:space="preserve">Black text</t>
  </si>
  <si>
    <t xml:space="preserve">Formula — do not overwrite.</t>
  </si>
  <si>
    <t xml:space="preserve">Green text</t>
  </si>
  <si>
    <t xml:space="preserve">Link to another sheet.</t>
  </si>
  <si>
    <t xml:space="preserve">Yellow fill</t>
  </si>
  <si>
    <t xml:space="preserve">Key assumption the user is expected to review (parameters; projection drivers).</t>
  </si>
  <si>
    <t xml:space="preserve">Red / green fill</t>
  </si>
  <si>
    <t xml:space="preserve">Benchmark breached / met (conditional formatting; thresholds on Inputs rows 7–10).</t>
  </si>
  <si>
    <t xml:space="preserve">RATIO DEFINITIONS</t>
  </si>
  <si>
    <t xml:space="preserve">DSCR</t>
  </si>
  <si>
    <t xml:space="preserve">(PAT – exceptional items + depreciation + finance cost) ÷ (finance cost + prior-year current portion of long-term debt). FY2022 is n.a. (no FY2021 spread).</t>
  </si>
  <si>
    <t xml:space="preserve">TOL / TNW</t>
  </si>
  <si>
    <t xml:space="preserve">Total outside liabilities ÷ tangible net worth. TNW = net worth (incl. minority) less intangibles × switch (Inputs!B6; default 0 = concession rights treated as tangible). A strict memo line is shown on Ratios.</t>
  </si>
  <si>
    <t xml:space="preserve">Current ratio</t>
  </si>
  <si>
    <t xml:space="preserve">Total current assets ÷ total current liabilities (current liabilities include current maturities of debt).</t>
  </si>
  <si>
    <t xml:space="preserve">ICR</t>
  </si>
  <si>
    <t xml:space="preserve">(PBT before exceptional items + finance cost) ÷ finance cost. EBITDA/interest is shown as a memo.</t>
  </si>
  <si>
    <t xml:space="preserve">Working capital cycle</t>
  </si>
  <si>
    <t xml:space="preserve">Debtor days (receivables ÷ sales) + inventory days – creditor days (both ÷ operating expenditure), on year-end balances.</t>
  </si>
  <si>
    <t xml:space="preserve">DATA SOURCES &amp; NOTES</t>
  </si>
  <si>
    <t xml:space="preserve">P&amp;L</t>
  </si>
  <si>
    <t xml:space="preserve">Consolidated annual results as published by Anand Rathi (anandrathi.com/stocks/irb-infradeveloper/financial-results/200048); FY2026 results announced May 2026.</t>
  </si>
  <si>
    <t xml:space="preserve">Balance sheet &amp; cash flow</t>
  </si>
  <si>
    <t xml:space="preserve">S&amp;P Global Market Intelligence via StockAnalysis.com (NSE:IRB), published in ₹ million and converted to ₹ crore (÷ 10). Total assets FY2026 = ₹54,054 cr here vs ₹53,998 cr on Screener — vendor classification differs slightly.</t>
  </si>
  <si>
    <t xml:space="preserve">Balancing lines</t>
  </si>
  <si>
    <t xml:space="preserve">Other current assets, other non-current assets, other current liabilities and other non-current liabilities are derived so that each subtotal ties to the vendor's reported totals. Other non-current liabilities (~₹11,500 cr) sit inside TOL; check their composition in the annual report notes before relying on TOL/TNW.</t>
  </si>
  <si>
    <t xml:space="preserve">FY2025 exceptional gain</t>
  </si>
  <si>
    <t xml:space="preserve">FY2025 PAT of ₹6,618 cr includes a ₹5,804 cr one-off gain; ratios strip it out (adjusted PAT / PBT).</t>
  </si>
  <si>
    <t xml:space="preserve">Base-case drivers are illustrative, not management guidance or a forecast. Exceptional items are assumed nil; PPE is held flat; new borrowing is an input chosen so cash stays non-negative.</t>
  </si>
  <si>
    <t xml:space="preserve">Benchmarks</t>
  </si>
  <si>
    <t xml:space="preserve">DSCR ≥ 1.20x, current ratio ≥ 1.00x, TOL/TNW ≤ 3.00x, ICR ≥ 1.50x are placeholder thresholds, not IRB's actual covenants.</t>
  </si>
  <si>
    <t xml:space="preserve">Re-use</t>
  </si>
  <si>
    <t xml:space="preserve">To analyse another borrower, overwrite the blue cells on Inputs (including the four balancing lines) and the projection drivers; everything else recalculates.</t>
  </si>
  <si>
    <t xml:space="preserve">IRB Infrastructure Developers Ltd — Financial Spreading (Consolidated)</t>
  </si>
  <si>
    <t xml:space="preserve">₹ crore, fiscal years ended 31 March. Blue = hard-coded input (overwrite to re-use for another borrower); black = formula.</t>
  </si>
  <si>
    <t xml:space="preserve">PARAMETERS &amp; BENCHMARKS</t>
  </si>
  <si>
    <t xml:space="preserve">Days in year (for working-capital days)</t>
  </si>
  <si>
    <t xml:space="preserve">Assumption</t>
  </si>
  <si>
    <t xml:space="preserve">Deduct intangibles (concession rights) from TNW?  1 = Yes, 0 = No</t>
  </si>
  <si>
    <t xml:space="preserve">Assumption: default 0 because toll/BOT concession rights are the revenue-generating asset. Set 1 for the strict view.</t>
  </si>
  <si>
    <t xml:space="preserve">Benchmark: minimum DSCR (x)</t>
  </si>
  <si>
    <t xml:space="preserve">Illustrative threshold — replace with sanction/covenant terms</t>
  </si>
  <si>
    <t xml:space="preserve">Benchmark: minimum current ratio (x)</t>
  </si>
  <si>
    <t xml:space="preserve">Benchmark: maximum TOL/TNW (x)</t>
  </si>
  <si>
    <t xml:space="preserve">Benchmark: minimum ICR (x)</t>
  </si>
  <si>
    <t xml:space="preserve">₹ crore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</si>
  <si>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</si>
  <si>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</si>
  <si>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</si>
  <si>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</si>
  <si>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</si>
  <si>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Source / note</t>
  </si>
  <si>
    <t xml:space="preserve">INCOME STATEMENT</t>
  </si>
  <si>
    <t xml:space="preserve">Net sales / revenue from operations</t>
  </si>
  <si>
    <t xml:space="preserve">Consolidated results, Anand Rathi (anandrathi.com)</t>
  </si>
  <si>
    <t xml:space="preserve">Total operating expenditure</t>
  </si>
  <si>
    <t xml:space="preserve">EBITDA (PBIDT excl. other income)</t>
  </si>
  <si>
    <t xml:space="preserve">Other income</t>
  </si>
  <si>
    <t xml:space="preserve">Finance cost (interest)</t>
  </si>
  <si>
    <t xml:space="preserve">Exceptional items (gain + / loss –)</t>
  </si>
  <si>
    <t xml:space="preserve">FY25 = ₹5,804 cr one-off gain (non-cash, InvIT-related); FY26 = loss</t>
  </si>
  <si>
    <t xml:space="preserve">Depreciation &amp; amortisation</t>
  </si>
  <si>
    <t xml:space="preserve">Profit before tax</t>
  </si>
  <si>
    <t xml:space="preserve">Tax expense</t>
  </si>
  <si>
    <t xml:space="preserve">Profit after tax (before minority interest)</t>
  </si>
  <si>
    <t xml:space="preserve">Reported PAT (for tie-out)</t>
  </si>
  <si>
    <t xml:space="preserve">Check: computed PAT – reported PAT (rounding only)</t>
  </si>
  <si>
    <t xml:space="preserve">BALANCE SHEET — ASSETS</t>
  </si>
  <si>
    <t xml:space="preserve">Cash &amp; cash equivalents</t>
  </si>
  <si>
    <t xml:space="preserve">S&amp;P Global via StockAnalysis (₹ mn ÷ 10)</t>
  </si>
  <si>
    <t xml:space="preserve">Short-term investments / trading securities</t>
  </si>
  <si>
    <t xml:space="preserve">Trade receivables</t>
  </si>
  <si>
    <t xml:space="preserve">Other receivables</t>
  </si>
  <si>
    <t xml:space="preserve">Inventory</t>
  </si>
  <si>
    <t xml:space="preserve">Prepaid expenses</t>
  </si>
  <si>
    <t xml:space="preserve">Other current assets (balancing to reported total)</t>
  </si>
  <si>
    <t xml:space="preserve">Derived: reported total current assets less the lines above</t>
  </si>
  <si>
    <t xml:space="preserve">Total current assets</t>
  </si>
  <si>
    <t xml:space="preserve">Property, plant &amp; equipment</t>
  </si>
  <si>
    <t xml:space="preserve">Intangibles incl. goodwill (concession rights)</t>
  </si>
  <si>
    <t xml:space="preserve">S&amp;P Global via StockAnalysis (₹ mn ÷ 10); other intangibles + goodwill</t>
  </si>
  <si>
    <t xml:space="preserve">Long-term investments</t>
  </si>
  <si>
    <t xml:space="preserve">Other non-current assets (balancing to reported total)</t>
  </si>
  <si>
    <t xml:space="preserve">Derived: reported total assets less lines above</t>
  </si>
  <si>
    <t xml:space="preserve">Total assets</t>
  </si>
  <si>
    <t xml:space="preserve">BALANCE SHEET — LIABILITIES &amp; EQUITY</t>
  </si>
  <si>
    <t xml:space="preserve">Trade payables</t>
  </si>
  <si>
    <t xml:space="preserve">Accrued expenses</t>
  </si>
  <si>
    <t xml:space="preserve">Short-term borrowings</t>
  </si>
  <si>
    <t xml:space="preserve">Current portion of long-term debt &amp; leases</t>
  </si>
  <si>
    <t xml:space="preserve">S&amp;P Global via StockAnalysis (₹ mn ÷ 10); incl. current lease liabilities</t>
  </si>
  <si>
    <t xml:space="preserve">Other current liabilities (balancing to reported total)</t>
  </si>
  <si>
    <t xml:space="preserve">Derived: reported total current liabilities less lines above (incl. taxes payable)</t>
  </si>
  <si>
    <t xml:space="preserve">Total current liabilities</t>
  </si>
  <si>
    <t xml:space="preserve">Long-term debt &amp; leases</t>
  </si>
  <si>
    <t xml:space="preserve">S&amp;P Global via StockAnalysis (₹ mn ÷ 10); incl. long-term lease liabilities</t>
  </si>
  <si>
    <t xml:space="preserve">Other non-current liabilities (balancing to reported total)</t>
  </si>
  <si>
    <t xml:space="preserve">Derived: reported total liabilities less CL and LT debt. Check composition in annual report notes</t>
  </si>
  <si>
    <t xml:space="preserve">Total outside liabilities</t>
  </si>
  <si>
    <t xml:space="preserve">Share capital</t>
  </si>
  <si>
    <t xml:space="preserve">Reserves &amp; other equity incl. minority interest</t>
  </si>
  <si>
    <t xml:space="preserve">Derived: total equity less share capital</t>
  </si>
  <si>
    <t xml:space="preserve">Total equity (net worth incl. minority interest)</t>
  </si>
  <si>
    <t xml:space="preserve">Total liabilities &amp; equity</t>
  </si>
  <si>
    <t xml:space="preserve">Check: total assets – total liabilities &amp; equity</t>
  </si>
  <si>
    <t xml:space="preserve">DEBT</t>
  </si>
  <si>
    <t xml:space="preserve">Total debt (short-term + current portion + long-term)</t>
  </si>
  <si>
    <t xml:space="preserve">Net debt (total debt – cash – short-term investments)</t>
  </si>
  <si>
    <t xml:space="preserve">CASH FLOW ITEMS</t>
  </si>
  <si>
    <t xml:space="preserve">Cash flow from operations (as reported by S&amp;P; interest shown in financing)</t>
  </si>
  <si>
    <t xml:space="preserve">S&amp;P Global via StockAnalysis cash flow statement</t>
  </si>
  <si>
    <t xml:space="preserve">Capital expenditure (PPE)</t>
  </si>
  <si>
    <t xml:space="preserve">S&amp;P Global via StockAnalysis</t>
  </si>
  <si>
    <t xml:space="preserve">Purchase of intangibles (concession capex)</t>
  </si>
  <si>
    <t xml:space="preserve">Dividends paid</t>
  </si>
  <si>
    <t xml:space="preserve">Cash interest paid</t>
  </si>
  <si>
    <t xml:space="preserve">Long-term debt repaid</t>
  </si>
  <si>
    <t xml:space="preserve">Net change in cash</t>
  </si>
  <si>
    <t xml:space="preserve">To re-use for another borrower: overwrite the blue cells (and the balancing lines) with the new company's spread; all other tabs recalculate.</t>
  </si>
  <si>
    <t xml:space="preserve">IRB Infrastructure Developers Ltd — Ratio Analysis (Historical)</t>
  </si>
  <si>
    <t xml:space="preserve">All figures link to the Inputs tab. Green = link to another sheet, black = calculation. Ratios in x unless stated.</t>
  </si>
  <si>
    <t xml:space="preserve">₹ crore / ratio</t>
  </si>
  <si>
    <t xml:space="preserve">Definition</t>
  </si>
  <si>
    <t xml:space="preserve">A. DEBT SERVICE COVERAGE (DSCR)</t>
  </si>
  <si>
    <t xml:space="preserve">Profit after tax</t>
  </si>
  <si>
    <t xml:space="preserve">Less: exceptional items (non-recurring)</t>
  </si>
  <si>
    <t xml:space="preserve">Adjusted PAT</t>
  </si>
  <si>
    <t xml:space="preserve">Add: depreciation &amp; amortisation</t>
  </si>
  <si>
    <t xml:space="preserve">Add: finance cost</t>
  </si>
  <si>
    <t xml:space="preserve">Cash accruals available for debt service</t>
  </si>
  <si>
    <t xml:space="preserve">(PAT – exceptional items) + depreciation + finance cost</t>
  </si>
  <si>
    <t xml:space="preserve">Scheduled principal (prior-year current portion of LT debt)</t>
  </si>
  <si>
    <t xml:space="preserve">n.a.</t>
  </si>
  <si>
    <t xml:space="preserve">Current maturities of LT debt at the start of the year (FY22 n.a. — FY21 balance sheet not spread)</t>
  </si>
  <si>
    <t xml:space="preserve">Debt service (interest + scheduled principal)</t>
  </si>
  <si>
    <t xml:space="preserve">DSCR (x)</t>
  </si>
  <si>
    <t xml:space="preserve">Cash accruals ÷ (interest + scheduled principal)</t>
  </si>
  <si>
    <t xml:space="preserve">Memo: reported cash flow from operations</t>
  </si>
  <si>
    <t xml:space="preserve">Memo: cash interest paid + LT debt repaid</t>
  </si>
  <si>
    <t xml:space="preserve">Memo: cash-based DSCR (x)</t>
  </si>
  <si>
    <t xml:space="preserve">Reported CFO ÷ (cash interest + LT debt repaid). CFO is shown before interest in the S&amp;P presentation</t>
  </si>
  <si>
    <t xml:space="preserve">B. TOL / TNW</t>
  </si>
  <si>
    <t xml:space="preserve">Total outside liabilities (TOL)</t>
  </si>
  <si>
    <t xml:space="preserve">Net worth (incl. minority interest)</t>
  </si>
  <si>
    <t xml:space="preserve">Less: intangibles deducted (per switch on Inputs)</t>
  </si>
  <si>
    <t xml:space="preserve">Tangible net worth (TNW)</t>
  </si>
  <si>
    <t xml:space="preserve">TOL / TNW (x)</t>
  </si>
  <si>
    <t xml:space="preserve">Total outside liabilities ÷ tangible net worth; "n.m." where TNW ≤ 0</t>
  </si>
  <si>
    <t xml:space="preserve">Memo: TNW with all intangibles deducted</t>
  </si>
  <si>
    <t xml:space="preserve">Memo: TOL / TNW — strict basis (x)</t>
  </si>
  <si>
    <t xml:space="preserve">Memo: total debt / net worth (x)</t>
  </si>
  <si>
    <t xml:space="preserve">C. LIQUIDITY</t>
  </si>
  <si>
    <t xml:space="preserve">Current ratio (x)</t>
  </si>
  <si>
    <t xml:space="preserve">Current assets ÷ current liabilities</t>
  </si>
  <si>
    <t xml:space="preserve">Net working capital</t>
  </si>
  <si>
    <t xml:space="preserve">D. INTEREST COVERAGE (ICR)</t>
  </si>
  <si>
    <t xml:space="preserve">PBT before exceptional items</t>
  </si>
  <si>
    <t xml:space="preserve">PBIT before exceptional items (PBT + interest)</t>
  </si>
  <si>
    <t xml:space="preserve">ICR (x)</t>
  </si>
  <si>
    <t xml:space="preserve">(PBT before exceptional items + interest) ÷ interest</t>
  </si>
  <si>
    <t xml:space="preserve">EBITDA</t>
  </si>
  <si>
    <t xml:space="preserve">Memo: EBITDA / interest (x)</t>
  </si>
  <si>
    <t xml:space="preserve">E. WORKING CAPITAL CYCLE (days, year-end balances)</t>
  </si>
  <si>
    <t xml:space="preserve">Net sales</t>
  </si>
  <si>
    <t xml:space="preserve">Operating expenditure</t>
  </si>
  <si>
    <t xml:space="preserve">Debtor days</t>
  </si>
  <si>
    <t xml:space="preserve">Trade receivables ÷ net sales × days in year</t>
  </si>
  <si>
    <t xml:space="preserve">Inventory days</t>
  </si>
  <si>
    <t xml:space="preserve">Creditor days</t>
  </si>
  <si>
    <t xml:space="preserve">Working capital cycle (days)</t>
  </si>
  <si>
    <t xml:space="preserve">Debtor days + inventory days – creditor days; inventory/creditor days on operating expenditure</t>
  </si>
  <si>
    <t xml:space="preserve">F. OTHER CREDIT METRICS</t>
  </si>
  <si>
    <t xml:space="preserve">Total debt</t>
  </si>
  <si>
    <t xml:space="preserve">Total debt / EBITDA (x)</t>
  </si>
  <si>
    <t xml:space="preserve">Net debt / EBITDA (x)</t>
  </si>
  <si>
    <t xml:space="preserve">Revenue growth</t>
  </si>
  <si>
    <t xml:space="preserve">EBITDA margin</t>
  </si>
  <si>
    <t xml:space="preserve">PAT margin (before exceptional items)</t>
  </si>
  <si>
    <t xml:space="preserve">G. BENCHMARK CHECK (thresholds on Inputs tab)</t>
  </si>
  <si>
    <t xml:space="preserve">IRB Infrastructure Developers Ltd — Projections FY2027E–FY2031E</t>
  </si>
  <si>
    <t xml:space="preserve">₹ crore. Blue = editable assumption (illustrative base case — replace with management / rating-agency case). Actual columns show historical equivalents of each driver for reference.</t>
  </si>
  <si>
    <t xml:space="preserve">Actual</t>
  </si>
  <si>
    <t xml:space="preserve">Projected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</si>
  <si>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</si>
  <si>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</si>
  <si>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</si>
  <si>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</si>
  <si>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</si>
  <si>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Assumption / note</t>
  </si>
  <si>
    <t xml:space="preserve">KEY ASSUMPTIONS</t>
  </si>
  <si>
    <t xml:space="preserve">Illustrative: toll growth offset by lower construction revenue (FY26 reported +0.5%)</t>
  </si>
  <si>
    <t xml:space="preserve">Held at ~FY26 level (52.1%)</t>
  </si>
  <si>
    <t xml:space="preserve">Other income (% of revenue)</t>
  </si>
  <si>
    <t xml:space="preserve">Held at ~FY26 level (2.7%)</t>
  </si>
  <si>
    <t xml:space="preserve">Depreciation &amp; amortisation (% of opening net block)</t>
  </si>
  <si>
    <t xml:space="preserve">FY26 = 4.6% of opening PPE + intangibles</t>
  </si>
  <si>
    <t xml:space="preserve">Interest rate on average total debt</t>
  </si>
  <si>
    <t xml:space="preserve">FY26 = 8.6% on average total debt</t>
  </si>
  <si>
    <t xml:space="preserve">Tax rate (on PBT)</t>
  </si>
  <si>
    <t xml:space="preserve">Effective rate on PBT before exceptional items: FY24 27%, FY26 32%</t>
  </si>
  <si>
    <t xml:space="preserve">Capex — PPE (₹ cr)</t>
  </si>
  <si>
    <t xml:space="preserve">PPE assumed flat: capex equals PPE depreciation</t>
  </si>
  <si>
    <t xml:space="preserve">Capex — concession assets / intangibles (₹ cr)</t>
  </si>
  <si>
    <t xml:space="preserve">FY26 = ₹668 cr; excludes any large new-project pipeline</t>
  </si>
  <si>
    <t xml:space="preserve">Net investment in long-term investments / InvIT (₹ cr)</t>
  </si>
  <si>
    <t xml:space="preserve">Set &gt; 0 to model equity into new projects / InvIT units</t>
  </si>
  <si>
    <t xml:space="preserve">New long-term borrowing (₹ cr)</t>
  </si>
  <si>
    <t xml:space="preserve">Refinancing / drawdown; tune so cash stays ≥ 0 (see checks). FY26 repaid ₹1,443 cr and drew ₹208 cr</t>
  </si>
  <si>
    <t xml:space="preserve">Change in short-term borrowings (₹ cr)</t>
  </si>
  <si>
    <t xml:space="preserve">Current portion as % of closing long-term debt</t>
  </si>
  <si>
    <t xml:space="preserve">FY26 = 8.7%, FY25 = 7.2%</t>
  </si>
  <si>
    <t xml:space="preserve">Dividend payout (% of PAT)</t>
  </si>
  <si>
    <t xml:space="preserve">FY26 dividends ₹127 cr = 15% of PAT</t>
  </si>
  <si>
    <t xml:space="preserve">Other current assets (% of revenue)</t>
  </si>
  <si>
    <t xml:space="preserve">Accrued &amp; other current liabilities (% of revenue)</t>
  </si>
  <si>
    <t xml:space="preserve">Finance cost</t>
  </si>
  <si>
    <t xml:space="preserve">Average-balance basis; no circularity because new borrowing is an input</t>
  </si>
  <si>
    <t xml:space="preserve">Exceptional items</t>
  </si>
  <si>
    <t xml:space="preserve">Assumed nil in projections</t>
  </si>
  <si>
    <t xml:space="preserve">Tax</t>
  </si>
  <si>
    <t xml:space="preserve">DEBT SCHEDULE (long-term debt incl. current portion)</t>
  </si>
  <si>
    <t xml:space="preserve">Opening long-term debt</t>
  </si>
  <si>
    <t xml:space="preserve">Less: scheduled repayment (prior-year current portion)</t>
  </si>
  <si>
    <t xml:space="preserve">Add: new borrowing</t>
  </si>
  <si>
    <t xml:space="preserve">Closing long-term debt</t>
  </si>
  <si>
    <t xml:space="preserve">Total debt (incl. short-term)</t>
  </si>
  <si>
    <t xml:space="preserve">BALANCE SHEET</t>
  </si>
  <si>
    <t xml:space="preserve">Cash &amp; short-term investments</t>
  </si>
  <si>
    <t xml:space="preserve">Other current assets</t>
  </si>
  <si>
    <t xml:space="preserve">PPE</t>
  </si>
  <si>
    <t xml:space="preserve">Intangibles (concession rights)</t>
  </si>
  <si>
    <t xml:space="preserve">Other non-current assets</t>
  </si>
  <si>
    <t xml:space="preserve">Accrued &amp; other current liabilities</t>
  </si>
  <si>
    <t xml:space="preserve">Current portion of long-term debt</t>
  </si>
  <si>
    <t xml:space="preserve">Long-term debt</t>
  </si>
  <si>
    <t xml:space="preserve">Other non-current liabilities</t>
  </si>
  <si>
    <t xml:space="preserve">Total equity (net worth)</t>
  </si>
  <si>
    <t xml:space="preserve">Check: assets – liabilities &amp; equity</t>
  </si>
  <si>
    <t xml:space="preserve">CASH FLOW (projected years)</t>
  </si>
  <si>
    <t xml:space="preserve">(Increase) / decrease in trade receivables</t>
  </si>
  <si>
    <t xml:space="preserve">(Increase) / decrease in inventory</t>
  </si>
  <si>
    <t xml:space="preserve">(Increase) / decrease in other current assets</t>
  </si>
  <si>
    <t xml:space="preserve">Increase / (decrease) in trade payables</t>
  </si>
  <si>
    <t xml:space="preserve">Increase / (decrease) in accrued &amp; other CL</t>
  </si>
  <si>
    <t xml:space="preserve">Cash flow from operations (after interest)</t>
  </si>
  <si>
    <t xml:space="preserve">Actual columns: reported CFO (interest shown in financing, so not like-for-like)</t>
  </si>
  <si>
    <t xml:space="preserve">Capex — PPE</t>
  </si>
  <si>
    <t xml:space="preserve">Capex — concession assets</t>
  </si>
  <si>
    <t xml:space="preserve">Net investment in long-term investments</t>
  </si>
  <si>
    <t xml:space="preserve">New long-term borrowing</t>
  </si>
  <si>
    <t xml:space="preserve">Scheduled repayment</t>
  </si>
  <si>
    <t xml:space="preserve">Change in short-term borrowings</t>
  </si>
  <si>
    <t xml:space="preserve">CREDIT RATIOS</t>
  </si>
  <si>
    <t xml:space="preserve">(PAT – exceptional + depreciation + interest) ÷ (interest + prior-year current portion of LT debt)</t>
  </si>
  <si>
    <t xml:space="preserve">Tangible net worth</t>
  </si>
  <si>
    <t xml:space="preserve">BENCHMARK &amp; INTEGRITY CHECKS</t>
  </si>
  <si>
    <t xml:space="preserve">DSCR vs benchmark</t>
  </si>
  <si>
    <t xml:space="preserve">Current ratio vs benchmark</t>
  </si>
  <si>
    <t xml:space="preserve">TOL/TNW vs benchmark</t>
  </si>
  <si>
    <t xml:space="preserve">ICR vs benchmark</t>
  </si>
  <si>
    <t xml:space="preserve">Cash balance non-negative</t>
  </si>
  <si>
    <t xml:space="preserve">Balance sheet balances</t>
  </si>
  <si>
    <t xml:space="preserve">IRB Infrastructure Developers Ltd — Sensitivity Analysis (FY2027E)</t>
  </si>
  <si>
    <t xml:space="preserve">Live formulas (no data tables): each cell recomputes FY2027E profit, interest and the ratio from the base-case drivers below. Flexes P&amp;L / debt drivers only; working-capital and cash effects are excluded. Blue deltas are editable.</t>
  </si>
  <si>
    <t xml:space="preserve">BASE CASE FY2027E (linked to Projections)</t>
  </si>
  <si>
    <t xml:space="preserve">Opening revenue (FY2026A)</t>
  </si>
  <si>
    <t xml:space="preserve">Interest rate</t>
  </si>
  <si>
    <t xml:space="preserve">Tax rate</t>
  </si>
  <si>
    <t xml:space="preserve">Average total debt (base)</t>
  </si>
  <si>
    <t xml:space="preserve">Opening current portion of LT debt</t>
  </si>
  <si>
    <t xml:space="preserve">Total outside liabilities (base)</t>
  </si>
  <si>
    <t xml:space="preserve">Total equity (base)</t>
  </si>
  <si>
    <t xml:space="preserve">Dividend payout</t>
  </si>
  <si>
    <t xml:space="preserve">Intangibles (base)</t>
  </si>
  <si>
    <t xml:space="preserve">PAT (base)</t>
  </si>
  <si>
    <t xml:space="preserve">DSCR per Projections (x)</t>
  </si>
  <si>
    <t xml:space="preserve">ICR per Projections (x)</t>
  </si>
  <si>
    <t xml:space="preserve">TOL/TNW per Projections (x)</t>
  </si>
  <si>
    <t xml:space="preserve">Tie-out: recomputed base DSCR – Projections DSCR (should be 0.00)</t>
  </si>
  <si>
    <t xml:space="preserve">Tie-out: recomputed base TOL/TNW – Projections (should be 0.00)</t>
  </si>
  <si>
    <t xml:space="preserve">1. DSCR (x): revenue growth vs interest-rate change</t>
  </si>
  <si>
    <t xml:space="preserve">Rows: Revenue growth   |   Columns: Interest rate</t>
  </si>
  <si>
    <t xml:space="preserve">Δ vs base →</t>
  </si>
  <si>
    <t xml:space="preserve">Level →</t>
  </si>
  <si>
    <t xml:space="preserve">2. DSCR (x): EBITDA margin vs revenue growth</t>
  </si>
  <si>
    <t xml:space="preserve">Rows: EBITDA margin   |   Columns: Revenue growth</t>
  </si>
  <si>
    <t xml:space="preserve">3. ICR (x): EBITDA margin vs interest-rate change</t>
  </si>
  <si>
    <t xml:space="preserve">Rows: EBITDA margin   |   Columns: Interest rate</t>
  </si>
  <si>
    <t xml:space="preserve">4. TOL / TNW (x): additional borrowing vs revenue growth</t>
  </si>
  <si>
    <t xml:space="preserve">Rows: Additional borrowing (₹ cr)   |   Columns: Revenue growth</t>
  </si>
  <si>
    <t xml:space="preserve">Green = meets the benchmark on the Inputs tab; red = breaches it. Benchmarks are illustrative — replace with sanction terms.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</si>
</sst>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\x;\(0.00&quot;x)&quot;;\-"/>
    <numFmt numFmtId="167" formatCode="#,##0.0;\(#,##0.0\);\-"/>
    <numFmt numFmtId="168" formatCode="0.00;\(0.00\);\-"/>
    <numFmt numFmtId="169" formatCode="0.0%;\(0.0%\);\-"/>
    <numFmt numFmtId="170" formatCode="0.000;\(0.000\);\-"/>
    <numFmt numFmtId="171" formatCode="\+0.0%;\-0.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30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true" outlineLevel="0" collapsed="false">
      <c r="A11" s="7" t="s">
        <v>12</v>
      </c>
      <c r="B11" s="6" t="s">
        <v>13</v>
      </c>
    </row>
    <row r="12" customFormat="false" ht="15" hidden="false" customHeight="true" outlineLevel="0" collapsed="false">
      <c r="A12" s="5" t="s">
        <v>14</v>
      </c>
      <c r="B12" s="6" t="s">
        <v>15</v>
      </c>
    </row>
    <row r="13" customFormat="false" ht="15" hidden="false" customHeight="true" outlineLevel="0" collapsed="false">
      <c r="A13" s="8" t="s">
        <v>16</v>
      </c>
      <c r="B13" s="6" t="s">
        <v>17</v>
      </c>
    </row>
    <row r="14" customFormat="false" ht="15" hidden="false" customHeight="true" outlineLevel="0" collapsed="false">
      <c r="A14" s="9" t="s">
        <v>18</v>
      </c>
      <c r="B14" s="6" t="s">
        <v>19</v>
      </c>
    </row>
    <row r="15" customFormat="false" ht="15" hidden="false" customHeight="true" outlineLevel="0" collapsed="false">
      <c r="A15" s="5" t="s">
        <v>20</v>
      </c>
      <c r="B15" s="6" t="s">
        <v>21</v>
      </c>
    </row>
    <row r="17" customFormat="false" ht="15" hidden="false" customHeight="false" outlineLevel="0" collapsed="false">
      <c r="A17" s="3" t="s">
        <v>22</v>
      </c>
      <c r="B17" s="4"/>
    </row>
    <row r="18" customFormat="false" ht="30" hidden="false" customHeight="true" outlineLevel="0" collapsed="false">
      <c r="A18" s="5" t="s">
        <v>23</v>
      </c>
      <c r="B18" s="6" t="s">
        <v>24</v>
      </c>
    </row>
    <row r="19" customFormat="false" ht="30" hidden="false" customHeight="true" outlineLevel="0" collapsed="false">
      <c r="A19" s="5" t="s">
        <v>25</v>
      </c>
      <c r="B19" s="6" t="s">
        <v>26</v>
      </c>
    </row>
    <row r="20" customFormat="false" ht="30" hidden="false" customHeight="true" outlineLevel="0" collapsed="false">
      <c r="A20" s="5" t="s">
        <v>27</v>
      </c>
      <c r="B20" s="6" t="s">
        <v>28</v>
      </c>
    </row>
    <row r="21" customFormat="false" ht="15" hidden="false" customHeight="true" outlineLevel="0" collapsed="false">
      <c r="A21" s="5" t="s">
        <v>29</v>
      </c>
      <c r="B21" s="6" t="s">
        <v>30</v>
      </c>
    </row>
    <row r="22" customFormat="false" ht="30" hidden="false" customHeight="true" outlineLevel="0" collapsed="false">
      <c r="A22" s="5" t="s">
        <v>31</v>
      </c>
      <c r="B22" s="6" t="s">
        <v>32</v>
      </c>
    </row>
    <row r="24" customFormat="false" ht="15" hidden="false" customHeight="false" outlineLevel="0" collapsed="false">
      <c r="A24" s="3" t="s">
        <v>33</v>
      </c>
      <c r="B24" s="4"/>
    </row>
    <row r="25" customFormat="false" ht="30" hidden="false" customHeight="true" outlineLevel="0" collapsed="false">
      <c r="A25" s="5" t="s">
        <v>34</v>
      </c>
      <c r="B25" s="6" t="s">
        <v>35</v>
      </c>
    </row>
    <row r="26" customFormat="false" ht="45" hidden="false" customHeight="true" outlineLevel="0" collapsed="false">
      <c r="A26" s="5" t="s">
        <v>36</v>
      </c>
      <c r="B26" s="6" t="s">
        <v>37</v>
      </c>
    </row>
    <row r="27" customFormat="false" ht="60" hidden="false" customHeight="true" outlineLevel="0" collapsed="false">
      <c r="A27" s="5" t="s">
        <v>38</v>
      </c>
      <c r="B27" s="6" t="s">
        <v>39</v>
      </c>
    </row>
    <row r="28" customFormat="false" ht="15" hidden="false" customHeight="true" outlineLevel="0" collapsed="false">
      <c r="A28" s="5" t="s">
        <v>40</v>
      </c>
      <c r="B28" s="6" t="s">
        <v>41</v>
      </c>
    </row>
    <row r="29" customFormat="false" ht="30" hidden="false" customHeight="true" outlineLevel="0" collapsed="false">
      <c r="A29" s="5" t="s">
        <v>7</v>
      </c>
      <c r="B29" s="6" t="s">
        <v>42</v>
      </c>
    </row>
    <row r="30" customFormat="false" ht="30" hidden="false" customHeight="true" outlineLevel="0" collapsed="false">
      <c r="A30" s="5" t="s">
        <v>43</v>
      </c>
      <c r="B30" s="6" t="s">
        <v>44</v>
      </c>
    </row>
    <row r="31" customFormat="false" ht="30" hidden="false" customHeight="true" outlineLevel="0" collapsed="false">
      <c r="A31" s="5" t="s">
        <v>45</v>
      </c>
      <c r="B31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3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3" t="s">
        <v>49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10" t="s">
        <v>50</v>
      </c>
      <c r="B5" s="11" t="n">
        <v>365</v>
      </c>
      <c r="G5" s="2" t="s">
        <v>51</v>
      </c>
    </row>
    <row r="6" customFormat="false" ht="15" hidden="false" customHeight="false" outlineLevel="0" collapsed="false">
      <c r="A6" s="10" t="s">
        <v>52</v>
      </c>
      <c r="B6" s="11" t="n">
        <v>0</v>
      </c>
      <c r="G6" s="2" t="s">
        <v>53</v>
      </c>
    </row>
    <row r="7" customFormat="false" ht="15" hidden="false" customHeight="false" outlineLevel="0" collapsed="false">
      <c r="A7" s="10" t="s">
        <v>54</v>
      </c>
      <c r="B7" s="12" t="n">
        <v>1.2</v>
      </c>
      <c r="G7" s="2" t="s">
        <v>55</v>
      </c>
    </row>
    <row r="8" customFormat="false" ht="15" hidden="false" customHeight="false" outlineLevel="0" collapsed="false">
      <c r="A8" s="10" t="s">
        <v>56</v>
      </c>
      <c r="B8" s="12" t="n">
        <v>1</v>
      </c>
      <c r="G8" s="2" t="s">
        <v>55</v>
      </c>
    </row>
    <row r="9" customFormat="false" ht="15" hidden="false" customHeight="false" outlineLevel="0" collapsed="false">
      <c r="A9" s="10" t="s">
        <v>57</v>
      </c>
      <c r="B9" s="12" t="n">
        <v>3</v>
      </c>
      <c r="G9" s="2" t="s">
        <v>55</v>
      </c>
    </row>
    <row r="10" customFormat="false" ht="15" hidden="false" customHeight="false" outlineLevel="0" collapsed="false">
      <c r="A10" s="10" t="s">
        <v>58</v>
      </c>
      <c r="B10" s="12" t="n">
        <v>1.5</v>
      </c>
      <c r="G10" s="2" t="s">
        <v>55</v>
      </c>
    </row>
    <row r="13" customFormat="false" ht="15" hidden="false" customHeight="false" outlineLevel="0" collapsed="false">
      <c r="A13" s="13" t="s">
        <v>59</v>
      </c>
      <c r="B13" s="14" t="s">
        <v>60</v>
      </c>
      <c r="C13" s="14" t="s">
        <v>61</v>
      </c>
      <c r="D13" s="14" t="s">
        <v>62</v>
      </c>
      <c r="E13" s="14" t="s">
        <v>63</v>
      </c>
      <c r="F13" s="14" t="s">
        <v>64</v>
      </c>
      <c r="G13" s="13" t="s">
        <v>65</v>
      </c>
    </row>
    <row r="14" customFormat="false" ht="15" hidden="false" customHeight="false" outlineLevel="0" collapsed="false">
      <c r="A14" s="3" t="s">
        <v>66</v>
      </c>
      <c r="B14" s="4"/>
      <c r="C14" s="4"/>
      <c r="D14" s="4"/>
      <c r="E14" s="4"/>
      <c r="F14" s="4"/>
      <c r="G14" s="4"/>
    </row>
    <row r="15" customFormat="false" ht="15" hidden="false" customHeight="false" outlineLevel="0" collapsed="false">
      <c r="A15" s="10" t="s">
        <v>67</v>
      </c>
      <c r="B15" s="15" t="n">
        <v>5803.7</v>
      </c>
      <c r="C15" s="15" t="n">
        <v>6401.64</v>
      </c>
      <c r="D15" s="15" t="n">
        <v>7409</v>
      </c>
      <c r="E15" s="15" t="n">
        <v>7613.47</v>
      </c>
      <c r="F15" s="15" t="n">
        <v>7648.15</v>
      </c>
      <c r="G15" s="2" t="s">
        <v>68</v>
      </c>
    </row>
    <row r="16" customFormat="false" ht="15" hidden="false" customHeight="false" outlineLevel="0" collapsed="false">
      <c r="A16" s="10" t="s">
        <v>69</v>
      </c>
      <c r="B16" s="15" t="n">
        <v>3006.2</v>
      </c>
      <c r="C16" s="15" t="n">
        <v>3172.61</v>
      </c>
      <c r="D16" s="15" t="n">
        <v>4077.21</v>
      </c>
      <c r="E16" s="15" t="n">
        <v>4007.62</v>
      </c>
      <c r="F16" s="15" t="n">
        <v>3666.33</v>
      </c>
      <c r="G16" s="2" t="s">
        <v>68</v>
      </c>
    </row>
    <row r="17" customFormat="false" ht="15" hidden="false" customHeight="false" outlineLevel="0" collapsed="false">
      <c r="A17" s="5" t="s">
        <v>70</v>
      </c>
      <c r="B17" s="16" t="n">
        <f aca="false">B15-B16</f>
        <v>2797.5</v>
      </c>
      <c r="C17" s="16" t="n">
        <f aca="false">C15-C16</f>
        <v>3229.03</v>
      </c>
      <c r="D17" s="16" t="n">
        <f aca="false">D15-D16</f>
        <v>3331.79</v>
      </c>
      <c r="E17" s="16" t="n">
        <f aca="false">E15-E16</f>
        <v>3605.85</v>
      </c>
      <c r="F17" s="16" t="n">
        <f aca="false">F15-F16</f>
        <v>3981.82</v>
      </c>
    </row>
    <row r="18" customFormat="false" ht="15" hidden="false" customHeight="false" outlineLevel="0" collapsed="false">
      <c r="A18" s="10" t="s">
        <v>71</v>
      </c>
      <c r="B18" s="15" t="n">
        <v>551.75</v>
      </c>
      <c r="C18" s="15" t="n">
        <v>301.67</v>
      </c>
      <c r="D18" s="15" t="n">
        <v>792.76</v>
      </c>
      <c r="E18" s="15" t="n">
        <v>418.08</v>
      </c>
      <c r="F18" s="15" t="n">
        <v>205.83</v>
      </c>
      <c r="G18" s="2" t="s">
        <v>68</v>
      </c>
    </row>
    <row r="19" customFormat="false" ht="15" hidden="false" customHeight="false" outlineLevel="0" collapsed="false">
      <c r="A19" s="10" t="s">
        <v>72</v>
      </c>
      <c r="B19" s="15" t="n">
        <v>1890.62</v>
      </c>
      <c r="C19" s="15" t="n">
        <v>1514.63</v>
      </c>
      <c r="D19" s="15" t="n">
        <v>1863.32</v>
      </c>
      <c r="E19" s="15" t="n">
        <v>1791.94</v>
      </c>
      <c r="F19" s="15" t="n">
        <v>1755.15</v>
      </c>
      <c r="G19" s="2" t="s">
        <v>68</v>
      </c>
    </row>
    <row r="20" customFormat="false" ht="15" hidden="false" customHeight="false" outlineLevel="0" collapsed="false">
      <c r="A20" s="10" t="s">
        <v>73</v>
      </c>
      <c r="B20" s="15" t="n">
        <v>0</v>
      </c>
      <c r="C20" s="15" t="n">
        <v>0</v>
      </c>
      <c r="D20" s="15" t="n">
        <v>0</v>
      </c>
      <c r="E20" s="15" t="n">
        <v>5804.13</v>
      </c>
      <c r="F20" s="15" t="n">
        <v>-42.65</v>
      </c>
      <c r="G20" s="2" t="s">
        <v>74</v>
      </c>
    </row>
    <row r="21" customFormat="false" ht="15" hidden="false" customHeight="false" outlineLevel="0" collapsed="false">
      <c r="A21" s="10" t="s">
        <v>75</v>
      </c>
      <c r="B21" s="15" t="n">
        <v>682.77</v>
      </c>
      <c r="C21" s="15" t="n">
        <v>832.12</v>
      </c>
      <c r="D21" s="15" t="n">
        <v>994.95</v>
      </c>
      <c r="E21" s="15" t="n">
        <v>1037.63</v>
      </c>
      <c r="F21" s="15" t="n">
        <v>1142.04</v>
      </c>
      <c r="G21" s="2" t="s">
        <v>68</v>
      </c>
    </row>
    <row r="22" customFormat="false" ht="15" hidden="false" customHeight="false" outlineLevel="0" collapsed="false">
      <c r="A22" s="5" t="s">
        <v>76</v>
      </c>
      <c r="B22" s="16" t="n">
        <f aca="false">B17+B18-B19+B20-B21</f>
        <v>775.86</v>
      </c>
      <c r="C22" s="16" t="n">
        <f aca="false">C17+C18-C19+C20-C21</f>
        <v>1183.95</v>
      </c>
      <c r="D22" s="16" t="n">
        <f aca="false">D17+D18-D19+D20-D21</f>
        <v>1266.28</v>
      </c>
      <c r="E22" s="16" t="n">
        <f aca="false">E17+E18-E19+E20-E21</f>
        <v>6998.49</v>
      </c>
      <c r="F22" s="16" t="n">
        <f aca="false">F17+F18-F19+F20-F21</f>
        <v>1247.81</v>
      </c>
    </row>
    <row r="23" customFormat="false" ht="15" hidden="false" customHeight="false" outlineLevel="0" collapsed="false">
      <c r="A23" s="10" t="s">
        <v>77</v>
      </c>
      <c r="B23" s="15" t="n">
        <v>188.23</v>
      </c>
      <c r="C23" s="15" t="n">
        <v>356.94</v>
      </c>
      <c r="D23" s="15" t="n">
        <v>345.62</v>
      </c>
      <c r="E23" s="15" t="n">
        <v>380.71</v>
      </c>
      <c r="F23" s="15" t="n">
        <v>397.46</v>
      </c>
      <c r="G23" s="2" t="s">
        <v>68</v>
      </c>
    </row>
    <row r="24" customFormat="false" ht="15" hidden="false" customHeight="false" outlineLevel="0" collapsed="false">
      <c r="A24" s="5" t="s">
        <v>78</v>
      </c>
      <c r="B24" s="16" t="n">
        <f aca="false">B22-B23</f>
        <v>587.63</v>
      </c>
      <c r="C24" s="16" t="n">
        <f aca="false">C22-C23</f>
        <v>827.01</v>
      </c>
      <c r="D24" s="16" t="n">
        <f aca="false">D22-D23</f>
        <v>920.66</v>
      </c>
      <c r="E24" s="16" t="n">
        <f aca="false">E22-E23</f>
        <v>6617.78</v>
      </c>
      <c r="F24" s="16" t="n">
        <f aca="false">F22-F23</f>
        <v>850.35</v>
      </c>
    </row>
    <row r="25" customFormat="false" ht="15" hidden="false" customHeight="false" outlineLevel="0" collapsed="false">
      <c r="A25" s="10" t="s">
        <v>79</v>
      </c>
      <c r="B25" s="15" t="n">
        <v>587.62</v>
      </c>
      <c r="C25" s="15" t="n">
        <v>827.02</v>
      </c>
      <c r="D25" s="15" t="n">
        <v>920.67</v>
      </c>
      <c r="E25" s="15" t="n">
        <v>6617.79</v>
      </c>
      <c r="F25" s="15" t="n">
        <v>850.36</v>
      </c>
      <c r="G25" s="2" t="s">
        <v>68</v>
      </c>
    </row>
    <row r="26" customFormat="false" ht="15" hidden="false" customHeight="false" outlineLevel="0" collapsed="false">
      <c r="A26" s="10" t="s">
        <v>80</v>
      </c>
      <c r="B26" s="17" t="n">
        <f aca="false">B24-B25</f>
        <v>0.0100000000001046</v>
      </c>
      <c r="C26" s="17" t="n">
        <f aca="false">C24-C25</f>
        <v>-0.00999999999976353</v>
      </c>
      <c r="D26" s="17" t="n">
        <f aca="false">D24-D25</f>
        <v>-0.00999999999953616</v>
      </c>
      <c r="E26" s="17" t="n">
        <f aca="false">E24-E25</f>
        <v>-0.00999999999930878</v>
      </c>
      <c r="F26" s="17" t="n">
        <f aca="false">F24-F25</f>
        <v>-0.0100000000005593</v>
      </c>
    </row>
    <row r="28" customFormat="false" ht="15" hidden="false" customHeight="false" outlineLevel="0" collapsed="false">
      <c r="A28" s="3" t="s">
        <v>81</v>
      </c>
      <c r="B28" s="4"/>
      <c r="C28" s="4"/>
      <c r="D28" s="4"/>
      <c r="E28" s="4"/>
      <c r="F28" s="4"/>
      <c r="G28" s="4"/>
    </row>
    <row r="29" customFormat="false" ht="15" hidden="false" customHeight="false" outlineLevel="0" collapsed="false">
      <c r="A29" s="10" t="s">
        <v>82</v>
      </c>
      <c r="B29" s="15" t="n">
        <v>52.98</v>
      </c>
      <c r="C29" s="15" t="n">
        <v>300.6</v>
      </c>
      <c r="D29" s="15" t="n">
        <v>232.7</v>
      </c>
      <c r="E29" s="15" t="n">
        <v>1859.5</v>
      </c>
      <c r="F29" s="15" t="n">
        <v>346.3</v>
      </c>
      <c r="G29" s="2" t="s">
        <v>83</v>
      </c>
    </row>
    <row r="30" customFormat="false" ht="15" hidden="false" customHeight="false" outlineLevel="0" collapsed="false">
      <c r="A30" s="10" t="s">
        <v>84</v>
      </c>
      <c r="B30" s="15" t="n">
        <v>463.5</v>
      </c>
      <c r="C30" s="15" t="n">
        <v>195.7</v>
      </c>
      <c r="D30" s="15" t="n">
        <v>265</v>
      </c>
      <c r="E30" s="15" t="n">
        <v>16.72</v>
      </c>
      <c r="F30" s="15" t="n">
        <v>181.2</v>
      </c>
      <c r="G30" s="2" t="s">
        <v>83</v>
      </c>
    </row>
    <row r="31" customFormat="false" ht="15" hidden="false" customHeight="false" outlineLevel="0" collapsed="false">
      <c r="A31" s="10" t="s">
        <v>85</v>
      </c>
      <c r="B31" s="15" t="n">
        <v>1512.9</v>
      </c>
      <c r="C31" s="15" t="n">
        <v>2300.1</v>
      </c>
      <c r="D31" s="15" t="n">
        <v>1317.6</v>
      </c>
      <c r="E31" s="15" t="n">
        <v>994.2</v>
      </c>
      <c r="F31" s="15" t="n">
        <v>1075.5</v>
      </c>
      <c r="G31" s="2" t="s">
        <v>83</v>
      </c>
    </row>
    <row r="32" customFormat="false" ht="15" hidden="false" customHeight="false" outlineLevel="0" collapsed="false">
      <c r="A32" s="10" t="s">
        <v>86</v>
      </c>
      <c r="B32" s="15" t="n">
        <v>428.2</v>
      </c>
      <c r="C32" s="15" t="n">
        <v>702</v>
      </c>
      <c r="D32" s="15" t="n">
        <v>710.7</v>
      </c>
      <c r="E32" s="15" t="n">
        <v>699.8</v>
      </c>
      <c r="F32" s="15" t="n">
        <v>706.2</v>
      </c>
      <c r="G32" s="2" t="s">
        <v>83</v>
      </c>
    </row>
    <row r="33" customFormat="false" ht="15" hidden="false" customHeight="false" outlineLevel="0" collapsed="false">
      <c r="A33" s="10" t="s">
        <v>87</v>
      </c>
      <c r="B33" s="15" t="n">
        <v>317.5</v>
      </c>
      <c r="C33" s="15" t="n">
        <v>299</v>
      </c>
      <c r="D33" s="15" t="n">
        <v>293.1</v>
      </c>
      <c r="E33" s="15" t="n">
        <v>338.6</v>
      </c>
      <c r="F33" s="15" t="n">
        <v>367</v>
      </c>
      <c r="G33" s="2" t="s">
        <v>83</v>
      </c>
    </row>
    <row r="34" customFormat="false" ht="15" hidden="false" customHeight="false" outlineLevel="0" collapsed="false">
      <c r="A34" s="10" t="s">
        <v>88</v>
      </c>
      <c r="B34" s="15" t="n">
        <v>46.32</v>
      </c>
      <c r="C34" s="15" t="n">
        <v>16.81</v>
      </c>
      <c r="D34" s="15" t="n">
        <v>4.98</v>
      </c>
      <c r="E34" s="15" t="n">
        <v>4.07</v>
      </c>
      <c r="F34" s="15" t="n">
        <v>9.9</v>
      </c>
      <c r="G34" s="2" t="s">
        <v>83</v>
      </c>
    </row>
    <row r="35" customFormat="false" ht="15" hidden="false" customHeight="false" outlineLevel="0" collapsed="false">
      <c r="A35" s="10" t="s">
        <v>89</v>
      </c>
      <c r="B35" s="15" t="n">
        <v>2306.1</v>
      </c>
      <c r="C35" s="15" t="n">
        <v>3150.89</v>
      </c>
      <c r="D35" s="15" t="n">
        <v>2015.32</v>
      </c>
      <c r="E35" s="15" t="n">
        <v>1995.81</v>
      </c>
      <c r="F35" s="15" t="n">
        <v>1995.6</v>
      </c>
      <c r="G35" s="2" t="s">
        <v>90</v>
      </c>
    </row>
    <row r="36" customFormat="false" ht="15" hidden="false" customHeight="false" outlineLevel="0" collapsed="false">
      <c r="A36" s="5" t="s">
        <v>91</v>
      </c>
      <c r="B36" s="16" t="n">
        <f aca="false">SUM(B29:B35)</f>
        <v>5127.5</v>
      </c>
      <c r="C36" s="16" t="n">
        <f aca="false">SUM(C29:C35)</f>
        <v>6965.1</v>
      </c>
      <c r="D36" s="16" t="n">
        <f aca="false">SUM(D29:D35)</f>
        <v>4839.4</v>
      </c>
      <c r="E36" s="16" t="n">
        <f aca="false">SUM(E29:E35)</f>
        <v>5908.7</v>
      </c>
      <c r="F36" s="16" t="n">
        <f aca="false">SUM(F29:F35)</f>
        <v>4681.7</v>
      </c>
    </row>
    <row r="37" customFormat="false" ht="15" hidden="false" customHeight="false" outlineLevel="0" collapsed="false">
      <c r="A37" s="10" t="s">
        <v>92</v>
      </c>
      <c r="B37" s="15" t="n">
        <v>984.2</v>
      </c>
      <c r="C37" s="15" t="n">
        <v>950</v>
      </c>
      <c r="D37" s="15" t="n">
        <v>922</v>
      </c>
      <c r="E37" s="15" t="n">
        <v>986.3</v>
      </c>
      <c r="F37" s="15" t="n">
        <v>946.1</v>
      </c>
      <c r="G37" s="2" t="s">
        <v>83</v>
      </c>
    </row>
    <row r="38" customFormat="false" ht="15" hidden="false" customHeight="false" outlineLevel="0" collapsed="false">
      <c r="A38" s="10" t="s">
        <v>93</v>
      </c>
      <c r="B38" s="15" t="n">
        <v>26349.4</v>
      </c>
      <c r="C38" s="15" t="n">
        <v>25537.6</v>
      </c>
      <c r="D38" s="15" t="n">
        <v>24599.4</v>
      </c>
      <c r="E38" s="15" t="n">
        <v>23630.4</v>
      </c>
      <c r="F38" s="15" t="n">
        <v>22953.8</v>
      </c>
      <c r="G38" s="2" t="s">
        <v>94</v>
      </c>
    </row>
    <row r="39" customFormat="false" ht="15" hidden="false" customHeight="false" outlineLevel="0" collapsed="false">
      <c r="A39" s="10" t="s">
        <v>95</v>
      </c>
      <c r="B39" s="15" t="n">
        <v>4440.7</v>
      </c>
      <c r="C39" s="15" t="n">
        <v>4945.2</v>
      </c>
      <c r="D39" s="15" t="n">
        <v>9377</v>
      </c>
      <c r="E39" s="15" t="n">
        <v>17080.6</v>
      </c>
      <c r="F39" s="15" t="n">
        <v>19147</v>
      </c>
      <c r="G39" s="2" t="s">
        <v>83</v>
      </c>
    </row>
    <row r="40" customFormat="false" ht="15" hidden="false" customHeight="false" outlineLevel="0" collapsed="false">
      <c r="A40" s="10" t="s">
        <v>96</v>
      </c>
      <c r="B40" s="15" t="n">
        <v>5664.8</v>
      </c>
      <c r="C40" s="15" t="n">
        <v>4368.3</v>
      </c>
      <c r="D40" s="15" t="n">
        <v>5182.5</v>
      </c>
      <c r="E40" s="15" t="n">
        <v>6290</v>
      </c>
      <c r="F40" s="15" t="n">
        <v>6325</v>
      </c>
      <c r="G40" s="2" t="s">
        <v>97</v>
      </c>
    </row>
    <row r="41" customFormat="false" ht="15" hidden="false" customHeight="false" outlineLevel="0" collapsed="false">
      <c r="A41" s="5" t="s">
        <v>98</v>
      </c>
      <c r="B41" s="16" t="n">
        <f aca="false">B36+B37+B38+B39+B40</f>
        <v>42566.6</v>
      </c>
      <c r="C41" s="16" t="n">
        <f aca="false">C36+C37+C38+C39+C40</f>
        <v>42766.2</v>
      </c>
      <c r="D41" s="16" t="n">
        <f aca="false">D36+D37+D38+D39+D40</f>
        <v>44920.3</v>
      </c>
      <c r="E41" s="16" t="n">
        <f aca="false">E36+E37+E38+E39+E40</f>
        <v>53896</v>
      </c>
      <c r="F41" s="16" t="n">
        <f aca="false">F36+F37+F38+F39+F40</f>
        <v>54053.6</v>
      </c>
    </row>
    <row r="43" customFormat="false" ht="15" hidden="false" customHeight="false" outlineLevel="0" collapsed="false">
      <c r="A43" s="3" t="s">
        <v>99</v>
      </c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10" t="s">
        <v>100</v>
      </c>
      <c r="B44" s="15" t="n">
        <v>381.7</v>
      </c>
      <c r="C44" s="15" t="n">
        <v>502.2</v>
      </c>
      <c r="D44" s="15" t="n">
        <v>675.7</v>
      </c>
      <c r="E44" s="15" t="n">
        <v>521.8</v>
      </c>
      <c r="F44" s="15" t="n">
        <v>256.8</v>
      </c>
      <c r="G44" s="2" t="s">
        <v>83</v>
      </c>
    </row>
    <row r="45" customFormat="false" ht="15" hidden="false" customHeight="false" outlineLevel="0" collapsed="false">
      <c r="A45" s="10" t="s">
        <v>101</v>
      </c>
      <c r="B45" s="15" t="n">
        <v>83.35</v>
      </c>
      <c r="C45" s="15" t="n">
        <v>151.3</v>
      </c>
      <c r="D45" s="15" t="n">
        <v>306.4</v>
      </c>
      <c r="E45" s="15" t="n">
        <v>181.5</v>
      </c>
      <c r="F45" s="15" t="n">
        <v>170.1</v>
      </c>
      <c r="G45" s="2" t="s">
        <v>83</v>
      </c>
    </row>
    <row r="46" customFormat="false" ht="15" hidden="false" customHeight="false" outlineLevel="0" collapsed="false">
      <c r="A46" s="10" t="s">
        <v>102</v>
      </c>
      <c r="B46" s="15" t="n">
        <v>583.3</v>
      </c>
      <c r="C46" s="15" t="n">
        <v>1339.1</v>
      </c>
      <c r="D46" s="15" t="n">
        <v>589.1</v>
      </c>
      <c r="E46" s="15" t="n">
        <v>431.9</v>
      </c>
      <c r="F46" s="15" t="n">
        <v>536.1</v>
      </c>
      <c r="G46" s="2" t="s">
        <v>83</v>
      </c>
    </row>
    <row r="47" customFormat="false" ht="15" hidden="false" customHeight="false" outlineLevel="0" collapsed="false">
      <c r="A47" s="10" t="s">
        <v>103</v>
      </c>
      <c r="B47" s="15" t="n">
        <v>636.49</v>
      </c>
      <c r="C47" s="15" t="n">
        <v>1156.86</v>
      </c>
      <c r="D47" s="15" t="n">
        <v>1209.99</v>
      </c>
      <c r="E47" s="15" t="n">
        <v>1453.42</v>
      </c>
      <c r="F47" s="15" t="n">
        <v>1699.18</v>
      </c>
      <c r="G47" s="2" t="s">
        <v>104</v>
      </c>
    </row>
    <row r="48" customFormat="false" ht="15" hidden="false" customHeight="false" outlineLevel="0" collapsed="false">
      <c r="A48" s="10" t="s">
        <v>105</v>
      </c>
      <c r="B48" s="15" t="n">
        <v>1192.56</v>
      </c>
      <c r="C48" s="15" t="n">
        <v>1155.04</v>
      </c>
      <c r="D48" s="15" t="n">
        <v>1128.11</v>
      </c>
      <c r="E48" s="15" t="n">
        <v>1157.58</v>
      </c>
      <c r="F48" s="15" t="n">
        <v>1117.42</v>
      </c>
      <c r="G48" s="2" t="s">
        <v>106</v>
      </c>
    </row>
    <row r="49" customFormat="false" ht="15" hidden="false" customHeight="false" outlineLevel="0" collapsed="false">
      <c r="A49" s="5" t="s">
        <v>107</v>
      </c>
      <c r="B49" s="16" t="n">
        <f aca="false">SUM(B44:B48)</f>
        <v>2877.4</v>
      </c>
      <c r="C49" s="16" t="n">
        <f aca="false">SUM(C44:C48)</f>
        <v>4304.5</v>
      </c>
      <c r="D49" s="16" t="n">
        <f aca="false">SUM(D44:D48)</f>
        <v>3909.3</v>
      </c>
      <c r="E49" s="16" t="n">
        <f aca="false">SUM(E44:E48)</f>
        <v>3746.2</v>
      </c>
      <c r="F49" s="16" t="n">
        <f aca="false">SUM(F44:F48)</f>
        <v>3779.6</v>
      </c>
    </row>
    <row r="50" customFormat="false" ht="15" hidden="false" customHeight="false" outlineLevel="0" collapsed="false">
      <c r="A50" s="10" t="s">
        <v>108</v>
      </c>
      <c r="B50" s="15" t="n">
        <v>15483.21</v>
      </c>
      <c r="C50" s="15" t="n">
        <v>14252.25</v>
      </c>
      <c r="D50" s="15" t="n">
        <v>16854.3</v>
      </c>
      <c r="E50" s="15" t="n">
        <v>18713.98</v>
      </c>
      <c r="F50" s="15" t="n">
        <v>17791.78</v>
      </c>
      <c r="G50" s="2" t="s">
        <v>109</v>
      </c>
    </row>
    <row r="51" customFormat="false" ht="15" hidden="false" customHeight="false" outlineLevel="0" collapsed="false">
      <c r="A51" s="10" t="s">
        <v>110</v>
      </c>
      <c r="B51" s="15" t="n">
        <v>11640.39</v>
      </c>
      <c r="C51" s="15" t="n">
        <v>10830.55</v>
      </c>
      <c r="D51" s="15" t="n">
        <v>10412.2</v>
      </c>
      <c r="E51" s="15" t="n">
        <v>11609.22</v>
      </c>
      <c r="F51" s="15" t="n">
        <v>11533.42</v>
      </c>
      <c r="G51" s="2" t="s">
        <v>111</v>
      </c>
    </row>
    <row r="52" customFormat="false" ht="15" hidden="false" customHeight="false" outlineLevel="0" collapsed="false">
      <c r="A52" s="5" t="s">
        <v>112</v>
      </c>
      <c r="B52" s="16" t="n">
        <f aca="false">B49+B50+B51</f>
        <v>30001</v>
      </c>
      <c r="C52" s="16" t="n">
        <f aca="false">C49+C50+C51</f>
        <v>29387.3</v>
      </c>
      <c r="D52" s="16" t="n">
        <f aca="false">D49+D50+D51</f>
        <v>31175.8</v>
      </c>
      <c r="E52" s="16" t="n">
        <f aca="false">E49+E50+E51</f>
        <v>34069.4</v>
      </c>
      <c r="F52" s="16" t="n">
        <f aca="false">F49+F50+F51</f>
        <v>33104.8</v>
      </c>
    </row>
    <row r="53" customFormat="false" ht="15" hidden="false" customHeight="false" outlineLevel="0" collapsed="false">
      <c r="A53" s="10" t="s">
        <v>113</v>
      </c>
      <c r="B53" s="15" t="n">
        <v>603.9</v>
      </c>
      <c r="C53" s="15" t="n">
        <v>603.9</v>
      </c>
      <c r="D53" s="15" t="n">
        <v>603.9</v>
      </c>
      <c r="E53" s="15" t="n">
        <v>603.9</v>
      </c>
      <c r="F53" s="15" t="n">
        <v>603.9</v>
      </c>
      <c r="G53" s="2" t="s">
        <v>83</v>
      </c>
    </row>
    <row r="54" customFormat="false" ht="15" hidden="false" customHeight="false" outlineLevel="0" collapsed="false">
      <c r="A54" s="10" t="s">
        <v>114</v>
      </c>
      <c r="B54" s="15" t="n">
        <v>11961.7</v>
      </c>
      <c r="C54" s="15" t="n">
        <v>12775</v>
      </c>
      <c r="D54" s="15" t="n">
        <v>13140.6</v>
      </c>
      <c r="E54" s="15" t="n">
        <v>19222.7</v>
      </c>
      <c r="F54" s="15" t="n">
        <v>20344.9</v>
      </c>
      <c r="G54" s="2" t="s">
        <v>115</v>
      </c>
    </row>
    <row r="55" customFormat="false" ht="15" hidden="false" customHeight="false" outlineLevel="0" collapsed="false">
      <c r="A55" s="5" t="s">
        <v>116</v>
      </c>
      <c r="B55" s="16" t="n">
        <f aca="false">B53+B54</f>
        <v>12565.6</v>
      </c>
      <c r="C55" s="16" t="n">
        <f aca="false">C53+C54</f>
        <v>13378.9</v>
      </c>
      <c r="D55" s="16" t="n">
        <f aca="false">D53+D54</f>
        <v>13744.5</v>
      </c>
      <c r="E55" s="16" t="n">
        <f aca="false">E53+E54</f>
        <v>19826.6</v>
      </c>
      <c r="F55" s="16" t="n">
        <f aca="false">F53+F54</f>
        <v>20948.8</v>
      </c>
    </row>
    <row r="56" customFormat="false" ht="15" hidden="false" customHeight="false" outlineLevel="0" collapsed="false">
      <c r="A56" s="5" t="s">
        <v>117</v>
      </c>
      <c r="B56" s="18" t="n">
        <f aca="false">B52+B55</f>
        <v>42566.6</v>
      </c>
      <c r="C56" s="18" t="n">
        <f aca="false">C52+C55</f>
        <v>42766.2</v>
      </c>
      <c r="D56" s="18" t="n">
        <f aca="false">D52+D55</f>
        <v>44920.3</v>
      </c>
      <c r="E56" s="18" t="n">
        <f aca="false">E52+E55</f>
        <v>53896</v>
      </c>
      <c r="F56" s="18" t="n">
        <f aca="false">F52+F55</f>
        <v>54053.6</v>
      </c>
    </row>
    <row r="57" customFormat="false" ht="15" hidden="false" customHeight="false" outlineLevel="0" collapsed="false">
      <c r="A57" s="10" t="s">
        <v>118</v>
      </c>
      <c r="B57" s="17" t="n">
        <f aca="false">B41-B56</f>
        <v>0</v>
      </c>
      <c r="C57" s="17" t="n">
        <f aca="false">C41-C56</f>
        <v>0</v>
      </c>
      <c r="D57" s="17" t="n">
        <f aca="false">D41-D56</f>
        <v>0</v>
      </c>
      <c r="E57" s="17" t="n">
        <f aca="false">E41-E56</f>
        <v>0</v>
      </c>
      <c r="F57" s="17" t="n">
        <f aca="false">F41-F56</f>
        <v>0</v>
      </c>
    </row>
    <row r="59" customFormat="false" ht="15" hidden="false" customHeight="false" outlineLevel="0" collapsed="false">
      <c r="A59" s="3" t="s">
        <v>119</v>
      </c>
      <c r="B59" s="4"/>
      <c r="C59" s="4"/>
      <c r="D59" s="4"/>
      <c r="E59" s="4"/>
      <c r="F59" s="4"/>
      <c r="G59" s="4"/>
    </row>
    <row r="60" customFormat="false" ht="15" hidden="false" customHeight="false" outlineLevel="0" collapsed="false">
      <c r="A60" s="5" t="s">
        <v>120</v>
      </c>
      <c r="B60" s="18" t="n">
        <f aca="false">B46+B47+B50</f>
        <v>16703</v>
      </c>
      <c r="C60" s="18" t="n">
        <f aca="false">C46+C47+C50</f>
        <v>16748.21</v>
      </c>
      <c r="D60" s="18" t="n">
        <f aca="false">D46+D47+D50</f>
        <v>18653.39</v>
      </c>
      <c r="E60" s="18" t="n">
        <f aca="false">E46+E47+E50</f>
        <v>20599.3</v>
      </c>
      <c r="F60" s="18" t="n">
        <f aca="false">F46+F47+F50</f>
        <v>20027.06</v>
      </c>
    </row>
    <row r="61" customFormat="false" ht="15" hidden="false" customHeight="false" outlineLevel="0" collapsed="false">
      <c r="A61" s="10" t="s">
        <v>121</v>
      </c>
      <c r="B61" s="19" t="n">
        <f aca="false">B60-B29-B30</f>
        <v>16186.52</v>
      </c>
      <c r="C61" s="19" t="n">
        <f aca="false">C60-C29-C30</f>
        <v>16251.91</v>
      </c>
      <c r="D61" s="19" t="n">
        <f aca="false">D60-D29-D30</f>
        <v>18155.69</v>
      </c>
      <c r="E61" s="19" t="n">
        <f aca="false">E60-E29-E30</f>
        <v>18723.08</v>
      </c>
      <c r="F61" s="19" t="n">
        <f aca="false">F60-F29-F30</f>
        <v>19499.56</v>
      </c>
    </row>
    <row r="63" customFormat="false" ht="15" hidden="false" customHeight="false" outlineLevel="0" collapsed="false">
      <c r="A63" s="3" t="s">
        <v>122</v>
      </c>
      <c r="B63" s="4"/>
      <c r="C63" s="4"/>
      <c r="D63" s="4"/>
      <c r="E63" s="4"/>
      <c r="F63" s="4"/>
      <c r="G63" s="4"/>
    </row>
    <row r="64" customFormat="false" ht="15" hidden="false" customHeight="false" outlineLevel="0" collapsed="false">
      <c r="A64" s="10" t="s">
        <v>123</v>
      </c>
      <c r="B64" s="15" t="n">
        <v>364.1</v>
      </c>
      <c r="C64" s="15" t="n">
        <v>1764.1</v>
      </c>
      <c r="D64" s="15" t="n">
        <v>4053.8</v>
      </c>
      <c r="E64" s="15" t="n">
        <v>1971.2</v>
      </c>
      <c r="F64" s="15" t="n">
        <v>2098</v>
      </c>
      <c r="G64" s="2" t="s">
        <v>124</v>
      </c>
    </row>
    <row r="65" customFormat="false" ht="15" hidden="false" customHeight="false" outlineLevel="0" collapsed="false">
      <c r="A65" s="10" t="s">
        <v>125</v>
      </c>
      <c r="B65" s="15" t="n">
        <v>247.3</v>
      </c>
      <c r="C65" s="15" t="n">
        <v>49.49</v>
      </c>
      <c r="D65" s="15" t="n">
        <v>29.11</v>
      </c>
      <c r="E65" s="15" t="n">
        <v>112.6</v>
      </c>
      <c r="F65" s="15" t="n">
        <v>64.2</v>
      </c>
      <c r="G65" s="2" t="s">
        <v>126</v>
      </c>
    </row>
    <row r="66" customFormat="false" ht="15" hidden="false" customHeight="false" outlineLevel="0" collapsed="false">
      <c r="A66" s="10" t="s">
        <v>127</v>
      </c>
      <c r="B66" s="15" t="n">
        <v>1142.3</v>
      </c>
      <c r="C66" s="15" t="n">
        <v>381.4</v>
      </c>
      <c r="D66" s="15" t="n">
        <v>209.9</v>
      </c>
      <c r="E66" s="15" t="n">
        <v>86.03</v>
      </c>
      <c r="F66" s="15" t="n">
        <v>667.9</v>
      </c>
      <c r="G66" s="2" t="s">
        <v>126</v>
      </c>
    </row>
    <row r="67" customFormat="false" ht="15" hidden="false" customHeight="false" outlineLevel="0" collapsed="false">
      <c r="A67" s="10" t="s">
        <v>128</v>
      </c>
      <c r="B67" s="15" t="n">
        <v>0</v>
      </c>
      <c r="C67" s="15" t="n">
        <v>75.49</v>
      </c>
      <c r="D67" s="15" t="n">
        <v>166.1</v>
      </c>
      <c r="E67" s="15" t="n">
        <v>241.6</v>
      </c>
      <c r="F67" s="15" t="n">
        <v>126.8</v>
      </c>
      <c r="G67" s="2" t="s">
        <v>126</v>
      </c>
    </row>
    <row r="68" customFormat="false" ht="15" hidden="false" customHeight="false" outlineLevel="0" collapsed="false">
      <c r="A68" s="10" t="s">
        <v>129</v>
      </c>
      <c r="B68" s="15" t="n">
        <v>1660.7</v>
      </c>
      <c r="C68" s="15" t="n">
        <v>1227.9</v>
      </c>
      <c r="D68" s="15" t="n">
        <v>1659.1</v>
      </c>
      <c r="E68" s="15" t="n">
        <v>1398.4</v>
      </c>
      <c r="F68" s="15" t="n">
        <v>1339.6</v>
      </c>
      <c r="G68" s="2" t="s">
        <v>126</v>
      </c>
    </row>
    <row r="69" customFormat="false" ht="15" hidden="false" customHeight="false" outlineLevel="0" collapsed="false">
      <c r="A69" s="10" t="s">
        <v>130</v>
      </c>
      <c r="B69" s="15" t="n">
        <v>3290.7</v>
      </c>
      <c r="C69" s="15" t="n">
        <v>1618.7</v>
      </c>
      <c r="D69" s="15" t="n">
        <v>4092.7</v>
      </c>
      <c r="E69" s="15" t="n">
        <v>1219.5</v>
      </c>
      <c r="F69" s="15" t="n">
        <v>1443.4</v>
      </c>
      <c r="G69" s="2" t="s">
        <v>126</v>
      </c>
    </row>
    <row r="70" customFormat="false" ht="15" hidden="false" customHeight="false" outlineLevel="0" collapsed="false">
      <c r="A70" s="10" t="s">
        <v>131</v>
      </c>
      <c r="B70" s="15" t="n">
        <v>-600.8</v>
      </c>
      <c r="C70" s="15" t="n">
        <v>253.3</v>
      </c>
      <c r="D70" s="15" t="n">
        <v>-67.89</v>
      </c>
      <c r="E70" s="15" t="n">
        <v>1626.9</v>
      </c>
      <c r="F70" s="15" t="n">
        <v>-1513.2</v>
      </c>
      <c r="G70" s="2" t="s">
        <v>126</v>
      </c>
    </row>
    <row r="72" customFormat="false" ht="15" hidden="false" customHeight="false" outlineLevel="0" collapsed="false">
      <c r="A72" s="2" t="s">
        <v>132</v>
      </c>
    </row>
  </sheetData>
  <dataValidations count="1">
    <dataValidation allowBlank="false" errorStyle="stop" operator="between" showDropDown="false" showErrorMessage="false" showInputMessage="false" sqref="B6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3"/>
    <col collapsed="false" customWidth="true" hidden="false" outlineLevel="0" max="7" min="7" style="0" width="95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2" t="s">
        <v>134</v>
      </c>
    </row>
    <row r="4" customFormat="false" ht="15" hidden="false" customHeight="false" outlineLevel="0" collapsed="false">
      <c r="A4" s="13" t="s">
        <v>135</v>
      </c>
      <c r="B4" s="14" t="s">
        <v>60</v>
      </c>
      <c r="C4" s="14" t="s">
        <v>61</v>
      </c>
      <c r="D4" s="14" t="s">
        <v>62</v>
      </c>
      <c r="E4" s="14" t="s">
        <v>63</v>
      </c>
      <c r="F4" s="14" t="s">
        <v>64</v>
      </c>
      <c r="G4" s="13" t="s">
        <v>136</v>
      </c>
    </row>
    <row r="5" customFormat="false" ht="15" hidden="false" customHeight="false" outlineLevel="0" collapsed="false">
      <c r="A5" s="3" t="s">
        <v>137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10" t="s">
        <v>138</v>
      </c>
      <c r="B6" s="20" t="n">
        <f aca="false">Inputs!B24</f>
        <v>587.63</v>
      </c>
      <c r="C6" s="20" t="n">
        <f aca="false">Inputs!C24</f>
        <v>827.01</v>
      </c>
      <c r="D6" s="20" t="n">
        <f aca="false">Inputs!D24</f>
        <v>920.66</v>
      </c>
      <c r="E6" s="20" t="n">
        <f aca="false">Inputs!E24</f>
        <v>6617.78</v>
      </c>
      <c r="F6" s="20" t="n">
        <f aca="false">Inputs!F24</f>
        <v>850.35</v>
      </c>
    </row>
    <row r="7" customFormat="false" ht="15" hidden="false" customHeight="false" outlineLevel="0" collapsed="false">
      <c r="A7" s="10" t="s">
        <v>139</v>
      </c>
      <c r="B7" s="20" t="n">
        <f aca="false">Inputs!B20</f>
        <v>0</v>
      </c>
      <c r="C7" s="20" t="n">
        <f aca="false">Inputs!C20</f>
        <v>0</v>
      </c>
      <c r="D7" s="20" t="n">
        <f aca="false">Inputs!D20</f>
        <v>0</v>
      </c>
      <c r="E7" s="20" t="n">
        <f aca="false">Inputs!E20</f>
        <v>5804.13</v>
      </c>
      <c r="F7" s="20" t="n">
        <f aca="false">Inputs!F20</f>
        <v>-42.65</v>
      </c>
    </row>
    <row r="8" customFormat="false" ht="15" hidden="false" customHeight="false" outlineLevel="0" collapsed="false">
      <c r="A8" s="10" t="s">
        <v>140</v>
      </c>
      <c r="B8" s="21" t="n">
        <f aca="false">B6-B7</f>
        <v>587.63</v>
      </c>
      <c r="C8" s="21" t="n">
        <f aca="false">C6-C7</f>
        <v>827.01</v>
      </c>
      <c r="D8" s="21" t="n">
        <f aca="false">D6-D7</f>
        <v>920.66</v>
      </c>
      <c r="E8" s="21" t="n">
        <f aca="false">E6-E7</f>
        <v>813.650000000001</v>
      </c>
      <c r="F8" s="21" t="n">
        <f aca="false">F6-F7</f>
        <v>892.999999999999</v>
      </c>
    </row>
    <row r="9" customFormat="false" ht="15" hidden="false" customHeight="false" outlineLevel="0" collapsed="false">
      <c r="A9" s="10" t="s">
        <v>141</v>
      </c>
      <c r="B9" s="20" t="n">
        <f aca="false">Inputs!B21</f>
        <v>682.77</v>
      </c>
      <c r="C9" s="20" t="n">
        <f aca="false">Inputs!C21</f>
        <v>832.12</v>
      </c>
      <c r="D9" s="20" t="n">
        <f aca="false">Inputs!D21</f>
        <v>994.95</v>
      </c>
      <c r="E9" s="20" t="n">
        <f aca="false">Inputs!E21</f>
        <v>1037.63</v>
      </c>
      <c r="F9" s="20" t="n">
        <f aca="false">Inputs!F21</f>
        <v>1142.04</v>
      </c>
    </row>
    <row r="10" customFormat="false" ht="15" hidden="false" customHeight="false" outlineLevel="0" collapsed="false">
      <c r="A10" s="10" t="s">
        <v>142</v>
      </c>
      <c r="B10" s="20" t="n">
        <f aca="false">Inputs!B19</f>
        <v>1890.62</v>
      </c>
      <c r="C10" s="20" t="n">
        <f aca="false">Inputs!C19</f>
        <v>1514.63</v>
      </c>
      <c r="D10" s="20" t="n">
        <f aca="false">Inputs!D19</f>
        <v>1863.32</v>
      </c>
      <c r="E10" s="20" t="n">
        <f aca="false">Inputs!E19</f>
        <v>1791.94</v>
      </c>
      <c r="F10" s="20" t="n">
        <f aca="false">Inputs!F19</f>
        <v>1755.15</v>
      </c>
    </row>
    <row r="11" customFormat="false" ht="15" hidden="false" customHeight="false" outlineLevel="0" collapsed="false">
      <c r="A11" s="5" t="s">
        <v>143</v>
      </c>
      <c r="B11" s="16" t="n">
        <f aca="false">B8+B9+B10</f>
        <v>3161.02</v>
      </c>
      <c r="C11" s="16" t="n">
        <f aca="false">C8+C9+C10</f>
        <v>3173.76</v>
      </c>
      <c r="D11" s="16" t="n">
        <f aca="false">D8+D9+D10</f>
        <v>3778.93</v>
      </c>
      <c r="E11" s="16" t="n">
        <f aca="false">E8+E9+E10</f>
        <v>3643.22</v>
      </c>
      <c r="F11" s="16" t="n">
        <f aca="false">F8+F9+F10</f>
        <v>3790.19</v>
      </c>
      <c r="G11" s="2" t="s">
        <v>144</v>
      </c>
    </row>
    <row r="12" customFormat="false" ht="15" hidden="false" customHeight="false" outlineLevel="0" collapsed="false">
      <c r="A12" s="10" t="s">
        <v>145</v>
      </c>
      <c r="B12" s="22" t="s">
        <v>146</v>
      </c>
      <c r="C12" s="20" t="n">
        <f aca="false">Inputs!B47</f>
        <v>636.49</v>
      </c>
      <c r="D12" s="20" t="n">
        <f aca="false">Inputs!C47</f>
        <v>1156.86</v>
      </c>
      <c r="E12" s="20" t="n">
        <f aca="false">Inputs!D47</f>
        <v>1209.99</v>
      </c>
      <c r="F12" s="20" t="n">
        <f aca="false">Inputs!E47</f>
        <v>1453.42</v>
      </c>
      <c r="G12" s="2" t="s">
        <v>147</v>
      </c>
    </row>
    <row r="13" customFormat="false" ht="15" hidden="false" customHeight="false" outlineLevel="0" collapsed="false">
      <c r="A13" s="5" t="s">
        <v>148</v>
      </c>
      <c r="B13" s="23" t="s">
        <v>146</v>
      </c>
      <c r="C13" s="16" t="n">
        <f aca="false">C10+C12</f>
        <v>2151.12</v>
      </c>
      <c r="D13" s="16" t="n">
        <f aca="false">D10+D12</f>
        <v>3020.18</v>
      </c>
      <c r="E13" s="16" t="n">
        <f aca="false">E10+E12</f>
        <v>3001.93</v>
      </c>
      <c r="F13" s="16" t="n">
        <f aca="false">F10+F12</f>
        <v>3208.57</v>
      </c>
    </row>
    <row r="14" customFormat="false" ht="15" hidden="false" customHeight="false" outlineLevel="0" collapsed="false">
      <c r="A14" s="5" t="s">
        <v>149</v>
      </c>
      <c r="B14" s="24" t="s">
        <v>146</v>
      </c>
      <c r="C14" s="25" t="n">
        <f aca="false">IF(C13&gt;0,C11/C13,"n.a.")</f>
        <v>1.47539886198817</v>
      </c>
      <c r="D14" s="25" t="n">
        <f aca="false">IF(D13&gt;0,D11/D13,"n.a.")</f>
        <v>1.25122674807462</v>
      </c>
      <c r="E14" s="25" t="n">
        <f aca="false">IF(E13&gt;0,E11/E13,"n.a.")</f>
        <v>1.21362590067057</v>
      </c>
      <c r="F14" s="25" t="n">
        <f aca="false">IF(F13&gt;0,F11/F13,"n.a.")</f>
        <v>1.18127078418111</v>
      </c>
      <c r="G14" s="2" t="s">
        <v>150</v>
      </c>
    </row>
    <row r="15" customFormat="false" ht="15" hidden="false" customHeight="false" outlineLevel="0" collapsed="false">
      <c r="A15" s="10" t="s">
        <v>151</v>
      </c>
      <c r="B15" s="20" t="n">
        <f aca="false">Inputs!B64</f>
        <v>364.1</v>
      </c>
      <c r="C15" s="20" t="n">
        <f aca="false">Inputs!C64</f>
        <v>1764.1</v>
      </c>
      <c r="D15" s="20" t="n">
        <f aca="false">Inputs!D64</f>
        <v>4053.8</v>
      </c>
      <c r="E15" s="20" t="n">
        <f aca="false">Inputs!E64</f>
        <v>1971.2</v>
      </c>
      <c r="F15" s="20" t="n">
        <f aca="false">Inputs!F64</f>
        <v>2098</v>
      </c>
    </row>
    <row r="16" customFormat="false" ht="15" hidden="false" customHeight="false" outlineLevel="0" collapsed="false">
      <c r="A16" s="10" t="s">
        <v>152</v>
      </c>
      <c r="B16" s="19" t="n">
        <f aca="false">Inputs!B68+Inputs!B69</f>
        <v>4951.4</v>
      </c>
      <c r="C16" s="19" t="n">
        <f aca="false">Inputs!C68+Inputs!C69</f>
        <v>2846.6</v>
      </c>
      <c r="D16" s="19" t="n">
        <f aca="false">Inputs!D68+Inputs!D69</f>
        <v>5751.8</v>
      </c>
      <c r="E16" s="19" t="n">
        <f aca="false">Inputs!E68+Inputs!E69</f>
        <v>2617.9</v>
      </c>
      <c r="F16" s="19" t="n">
        <f aca="false">Inputs!F68+Inputs!F69</f>
        <v>2783</v>
      </c>
    </row>
    <row r="17" customFormat="false" ht="15" hidden="false" customHeight="false" outlineLevel="0" collapsed="false">
      <c r="A17" s="10" t="s">
        <v>153</v>
      </c>
      <c r="B17" s="26" t="n">
        <f aca="false">IF(B16&gt;0,B15/B16,"n.a.")</f>
        <v>0.0735347578462657</v>
      </c>
      <c r="C17" s="26" t="n">
        <f aca="false">IF(C16&gt;0,C15/C16,"n.a.")</f>
        <v>0.619721773343638</v>
      </c>
      <c r="D17" s="26" t="n">
        <f aca="false">IF(D16&gt;0,D15/D16,"n.a.")</f>
        <v>0.704788066344449</v>
      </c>
      <c r="E17" s="26" t="n">
        <f aca="false">IF(E16&gt;0,E15/E16,"n.a.")</f>
        <v>0.752969937736354</v>
      </c>
      <c r="F17" s="26" t="n">
        <f aca="false">IF(F16&gt;0,F15/F16,"n.a.")</f>
        <v>0.753862738052461</v>
      </c>
      <c r="G17" s="2" t="s">
        <v>154</v>
      </c>
    </row>
    <row r="19" customFormat="false" ht="15" hidden="false" customHeight="false" outlineLevel="0" collapsed="false">
      <c r="A19" s="3" t="s">
        <v>155</v>
      </c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10" t="s">
        <v>156</v>
      </c>
      <c r="B20" s="20" t="n">
        <f aca="false">Inputs!B52</f>
        <v>30001</v>
      </c>
      <c r="C20" s="20" t="n">
        <f aca="false">Inputs!C52</f>
        <v>29387.3</v>
      </c>
      <c r="D20" s="20" t="n">
        <f aca="false">Inputs!D52</f>
        <v>31175.8</v>
      </c>
      <c r="E20" s="20" t="n">
        <f aca="false">Inputs!E52</f>
        <v>34069.4</v>
      </c>
      <c r="F20" s="20" t="n">
        <f aca="false">Inputs!F52</f>
        <v>33104.8</v>
      </c>
    </row>
    <row r="21" customFormat="false" ht="15" hidden="false" customHeight="false" outlineLevel="0" collapsed="false">
      <c r="A21" s="10" t="s">
        <v>157</v>
      </c>
      <c r="B21" s="20" t="n">
        <f aca="false">Inputs!B55</f>
        <v>12565.6</v>
      </c>
      <c r="C21" s="20" t="n">
        <f aca="false">Inputs!C55</f>
        <v>13378.9</v>
      </c>
      <c r="D21" s="20" t="n">
        <f aca="false">Inputs!D55</f>
        <v>13744.5</v>
      </c>
      <c r="E21" s="20" t="n">
        <f aca="false">Inputs!E55</f>
        <v>19826.6</v>
      </c>
      <c r="F21" s="20" t="n">
        <f aca="false">Inputs!F55</f>
        <v>20948.8</v>
      </c>
    </row>
    <row r="22" customFormat="false" ht="15" hidden="false" customHeight="false" outlineLevel="0" collapsed="false">
      <c r="A22" s="10" t="s">
        <v>158</v>
      </c>
      <c r="B22" s="19" t="n">
        <f aca="false">Inputs!B38*Inputs!$B$6</f>
        <v>0</v>
      </c>
      <c r="C22" s="19" t="n">
        <f aca="false">Inputs!C38*Inputs!$B$6</f>
        <v>0</v>
      </c>
      <c r="D22" s="19" t="n">
        <f aca="false">Inputs!D38*Inputs!$B$6</f>
        <v>0</v>
      </c>
      <c r="E22" s="19" t="n">
        <f aca="false">Inputs!E38*Inputs!$B$6</f>
        <v>0</v>
      </c>
      <c r="F22" s="19" t="n">
        <f aca="false">Inputs!F38*Inputs!$B$6</f>
        <v>0</v>
      </c>
    </row>
    <row r="23" customFormat="false" ht="15" hidden="false" customHeight="false" outlineLevel="0" collapsed="false">
      <c r="A23" s="5" t="s">
        <v>159</v>
      </c>
      <c r="B23" s="16" t="n">
        <f aca="false">B21-B22</f>
        <v>12565.6</v>
      </c>
      <c r="C23" s="16" t="n">
        <f aca="false">C21-C22</f>
        <v>13378.9</v>
      </c>
      <c r="D23" s="16" t="n">
        <f aca="false">D21-D22</f>
        <v>13744.5</v>
      </c>
      <c r="E23" s="16" t="n">
        <f aca="false">E21-E22</f>
        <v>19826.6</v>
      </c>
      <c r="F23" s="16" t="n">
        <f aca="false">F21-F22</f>
        <v>20948.8</v>
      </c>
    </row>
    <row r="24" customFormat="false" ht="15" hidden="false" customHeight="false" outlineLevel="0" collapsed="false">
      <c r="A24" s="5" t="s">
        <v>160</v>
      </c>
      <c r="B24" s="25" t="n">
        <f aca="false">IF(B23&gt;0,B20/B23,"n.m.")</f>
        <v>2.38755013688165</v>
      </c>
      <c r="C24" s="25" t="n">
        <f aca="false">IF(C23&gt;0,C20/C23,"n.m.")</f>
        <v>2.1965408217417</v>
      </c>
      <c r="D24" s="25" t="n">
        <f aca="false">IF(D23&gt;0,D20/D23,"n.m.")</f>
        <v>2.26823820437266</v>
      </c>
      <c r="E24" s="25" t="n">
        <f aca="false">IF(E23&gt;0,E20/E23,"n.m.")</f>
        <v>1.71836825275135</v>
      </c>
      <c r="F24" s="25" t="n">
        <f aca="false">IF(F23&gt;0,F20/F23,"n.m.")</f>
        <v>1.58027190101581</v>
      </c>
      <c r="G24" s="2" t="s">
        <v>161</v>
      </c>
    </row>
    <row r="25" customFormat="false" ht="15" hidden="false" customHeight="false" outlineLevel="0" collapsed="false">
      <c r="A25" s="10" t="s">
        <v>162</v>
      </c>
      <c r="B25" s="19" t="n">
        <f aca="false">B21-Inputs!B38</f>
        <v>-13783.8</v>
      </c>
      <c r="C25" s="19" t="n">
        <f aca="false">C21-Inputs!C38</f>
        <v>-12158.7</v>
      </c>
      <c r="D25" s="19" t="n">
        <f aca="false">D21-Inputs!D38</f>
        <v>-10854.9</v>
      </c>
      <c r="E25" s="19" t="n">
        <f aca="false">E21-Inputs!E38</f>
        <v>-3803.8</v>
      </c>
      <c r="F25" s="19" t="n">
        <f aca="false">F21-Inputs!F38</f>
        <v>-2005</v>
      </c>
    </row>
    <row r="26" customFormat="false" ht="15" hidden="false" customHeight="false" outlineLevel="0" collapsed="false">
      <c r="A26" s="10" t="s">
        <v>163</v>
      </c>
      <c r="B26" s="26" t="str">
        <f aca="false">IF(B25&gt;0,B20/B25,"n.m.")</f>
        <v>n.m.</v>
      </c>
      <c r="C26" s="26" t="str">
        <f aca="false">IF(C25&gt;0,C20/C25,"n.m.")</f>
        <v>n.m.</v>
      </c>
      <c r="D26" s="26" t="str">
        <f aca="false">IF(D25&gt;0,D20/D25,"n.m.")</f>
        <v>n.m.</v>
      </c>
      <c r="E26" s="26" t="str">
        <f aca="false">IF(E25&gt;0,E20/E25,"n.m.")</f>
        <v>n.m.</v>
      </c>
      <c r="F26" s="26" t="str">
        <f aca="false">IF(F25&gt;0,F20/F25,"n.m.")</f>
        <v>n.m.</v>
      </c>
    </row>
    <row r="27" customFormat="false" ht="15" hidden="false" customHeight="false" outlineLevel="0" collapsed="false">
      <c r="A27" s="10" t="s">
        <v>164</v>
      </c>
      <c r="B27" s="26" t="n">
        <f aca="false">Inputs!B60/B21</f>
        <v>1.32926402241039</v>
      </c>
      <c r="C27" s="26" t="n">
        <f aca="false">Inputs!C60/C21</f>
        <v>1.25183759501902</v>
      </c>
      <c r="D27" s="26" t="n">
        <f aca="false">Inputs!D60/D21</f>
        <v>1.3571530430354</v>
      </c>
      <c r="E27" s="26" t="n">
        <f aca="false">Inputs!E60/E21</f>
        <v>1.03897289499965</v>
      </c>
      <c r="F27" s="26" t="n">
        <f aca="false">Inputs!F60/F21</f>
        <v>0.956000343695104</v>
      </c>
    </row>
    <row r="29" customFormat="false" ht="15" hidden="false" customHeight="false" outlineLevel="0" collapsed="false">
      <c r="A29" s="3" t="s">
        <v>165</v>
      </c>
      <c r="B29" s="4"/>
      <c r="C29" s="4"/>
      <c r="D29" s="4"/>
      <c r="E29" s="4"/>
      <c r="F29" s="4"/>
      <c r="G29" s="4"/>
    </row>
    <row r="30" customFormat="false" ht="15" hidden="false" customHeight="false" outlineLevel="0" collapsed="false">
      <c r="A30" s="10" t="s">
        <v>91</v>
      </c>
      <c r="B30" s="20" t="n">
        <f aca="false">Inputs!B36</f>
        <v>5127.5</v>
      </c>
      <c r="C30" s="20" t="n">
        <f aca="false">Inputs!C36</f>
        <v>6965.1</v>
      </c>
      <c r="D30" s="20" t="n">
        <f aca="false">Inputs!D36</f>
        <v>4839.4</v>
      </c>
      <c r="E30" s="20" t="n">
        <f aca="false">Inputs!E36</f>
        <v>5908.7</v>
      </c>
      <c r="F30" s="20" t="n">
        <f aca="false">Inputs!F36</f>
        <v>4681.7</v>
      </c>
    </row>
    <row r="31" customFormat="false" ht="15" hidden="false" customHeight="false" outlineLevel="0" collapsed="false">
      <c r="A31" s="10" t="s">
        <v>107</v>
      </c>
      <c r="B31" s="20" t="n">
        <f aca="false">Inputs!B49</f>
        <v>2877.4</v>
      </c>
      <c r="C31" s="20" t="n">
        <f aca="false">Inputs!C49</f>
        <v>4304.5</v>
      </c>
      <c r="D31" s="20" t="n">
        <f aca="false">Inputs!D49</f>
        <v>3909.3</v>
      </c>
      <c r="E31" s="20" t="n">
        <f aca="false">Inputs!E49</f>
        <v>3746.2</v>
      </c>
      <c r="F31" s="20" t="n">
        <f aca="false">Inputs!F49</f>
        <v>3779.6</v>
      </c>
    </row>
    <row r="32" customFormat="false" ht="15" hidden="false" customHeight="false" outlineLevel="0" collapsed="false">
      <c r="A32" s="5" t="s">
        <v>166</v>
      </c>
      <c r="B32" s="25" t="n">
        <f aca="false">B30/B31</f>
        <v>1.781990686036</v>
      </c>
      <c r="C32" s="25" t="n">
        <f aca="false">C30/C31</f>
        <v>1.61809733999303</v>
      </c>
      <c r="D32" s="25" t="n">
        <f aca="false">D30/D31</f>
        <v>1.23791983219502</v>
      </c>
      <c r="E32" s="25" t="n">
        <f aca="false">E30/E31</f>
        <v>1.57725161496984</v>
      </c>
      <c r="F32" s="25" t="n">
        <f aca="false">F30/F31</f>
        <v>1.2386760503757</v>
      </c>
      <c r="G32" s="2" t="s">
        <v>167</v>
      </c>
    </row>
    <row r="33" customFormat="false" ht="15" hidden="false" customHeight="false" outlineLevel="0" collapsed="false">
      <c r="A33" s="10" t="s">
        <v>168</v>
      </c>
      <c r="B33" s="19" t="n">
        <f aca="false">B30-B31</f>
        <v>2250.1</v>
      </c>
      <c r="C33" s="19" t="n">
        <f aca="false">C30-C31</f>
        <v>2660.6</v>
      </c>
      <c r="D33" s="19" t="n">
        <f aca="false">D30-D31</f>
        <v>930.1</v>
      </c>
      <c r="E33" s="19" t="n">
        <f aca="false">E30-E31</f>
        <v>2162.5</v>
      </c>
      <c r="F33" s="19" t="n">
        <f aca="false">F30-F31</f>
        <v>902.1</v>
      </c>
    </row>
    <row r="35" customFormat="false" ht="15" hidden="false" customHeight="false" outlineLevel="0" collapsed="false">
      <c r="A35" s="3" t="s">
        <v>169</v>
      </c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10" t="s">
        <v>76</v>
      </c>
      <c r="B36" s="20" t="n">
        <f aca="false">Inputs!B22</f>
        <v>775.86</v>
      </c>
      <c r="C36" s="20" t="n">
        <f aca="false">Inputs!C22</f>
        <v>1183.95</v>
      </c>
      <c r="D36" s="20" t="n">
        <f aca="false">Inputs!D22</f>
        <v>1266.28</v>
      </c>
      <c r="E36" s="20" t="n">
        <f aca="false">Inputs!E22</f>
        <v>6998.49</v>
      </c>
      <c r="F36" s="20" t="n">
        <f aca="false">Inputs!F22</f>
        <v>1247.81</v>
      </c>
    </row>
    <row r="37" customFormat="false" ht="15" hidden="false" customHeight="false" outlineLevel="0" collapsed="false">
      <c r="A37" s="10" t="s">
        <v>170</v>
      </c>
      <c r="B37" s="19" t="n">
        <f aca="false">B36-Inputs!B20</f>
        <v>775.86</v>
      </c>
      <c r="C37" s="19" t="n">
        <f aca="false">C36-Inputs!C20</f>
        <v>1183.95</v>
      </c>
      <c r="D37" s="19" t="n">
        <f aca="false">D36-Inputs!D20</f>
        <v>1266.28</v>
      </c>
      <c r="E37" s="19" t="n">
        <f aca="false">E36-Inputs!E20</f>
        <v>1194.36</v>
      </c>
      <c r="F37" s="19" t="n">
        <f aca="false">F36-Inputs!F20</f>
        <v>1290.46</v>
      </c>
    </row>
    <row r="38" customFormat="false" ht="15" hidden="false" customHeight="false" outlineLevel="0" collapsed="false">
      <c r="A38" s="10" t="s">
        <v>171</v>
      </c>
      <c r="B38" s="21" t="n">
        <f aca="false">B37+B10</f>
        <v>2666.48</v>
      </c>
      <c r="C38" s="21" t="n">
        <f aca="false">C37+C10</f>
        <v>2698.58</v>
      </c>
      <c r="D38" s="21" t="n">
        <f aca="false">D37+D10</f>
        <v>3129.6</v>
      </c>
      <c r="E38" s="21" t="n">
        <f aca="false">E37+E10</f>
        <v>2986.3</v>
      </c>
      <c r="F38" s="21" t="n">
        <f aca="false">F37+F10</f>
        <v>3045.61</v>
      </c>
    </row>
    <row r="39" customFormat="false" ht="15" hidden="false" customHeight="false" outlineLevel="0" collapsed="false">
      <c r="A39" s="5" t="s">
        <v>172</v>
      </c>
      <c r="B39" s="25" t="n">
        <f aca="false">B38/B10</f>
        <v>1.41037331668976</v>
      </c>
      <c r="C39" s="25" t="n">
        <f aca="false">C38/C10</f>
        <v>1.78167605289741</v>
      </c>
      <c r="D39" s="25" t="n">
        <f aca="false">D38/D10</f>
        <v>1.67958268037696</v>
      </c>
      <c r="E39" s="25" t="n">
        <f aca="false">E38/E10</f>
        <v>1.66651785216023</v>
      </c>
      <c r="F39" s="25" t="n">
        <f aca="false">F38/F10</f>
        <v>1.73524200210808</v>
      </c>
      <c r="G39" s="2" t="s">
        <v>173</v>
      </c>
    </row>
    <row r="40" customFormat="false" ht="15" hidden="false" customHeight="false" outlineLevel="0" collapsed="false">
      <c r="A40" s="10" t="s">
        <v>174</v>
      </c>
      <c r="B40" s="20" t="n">
        <f aca="false">Inputs!B17</f>
        <v>2797.5</v>
      </c>
      <c r="C40" s="20" t="n">
        <f aca="false">Inputs!C17</f>
        <v>3229.03</v>
      </c>
      <c r="D40" s="20" t="n">
        <f aca="false">Inputs!D17</f>
        <v>3331.79</v>
      </c>
      <c r="E40" s="20" t="n">
        <f aca="false">Inputs!E17</f>
        <v>3605.85</v>
      </c>
      <c r="F40" s="20" t="n">
        <f aca="false">Inputs!F17</f>
        <v>3981.82</v>
      </c>
    </row>
    <row r="41" customFormat="false" ht="15" hidden="false" customHeight="false" outlineLevel="0" collapsed="false">
      <c r="A41" s="10" t="s">
        <v>175</v>
      </c>
      <c r="B41" s="26" t="n">
        <f aca="false">B40/B10</f>
        <v>1.47967333467328</v>
      </c>
      <c r="C41" s="26" t="n">
        <f aca="false">C40/C10</f>
        <v>2.13189359777635</v>
      </c>
      <c r="D41" s="26" t="n">
        <f aca="false">D40/D10</f>
        <v>1.78809329583754</v>
      </c>
      <c r="E41" s="26" t="n">
        <f aca="false">E40/E10</f>
        <v>2.01226045514917</v>
      </c>
      <c r="F41" s="26" t="n">
        <f aca="false">F40/F10</f>
        <v>2.26864940318491</v>
      </c>
    </row>
    <row r="43" customFormat="false" ht="15" hidden="false" customHeight="false" outlineLevel="0" collapsed="false">
      <c r="A43" s="3" t="s">
        <v>176</v>
      </c>
      <c r="B43" s="4"/>
      <c r="C43" s="4"/>
      <c r="D43" s="4"/>
      <c r="E43" s="4"/>
      <c r="F43" s="4"/>
      <c r="G43" s="4"/>
    </row>
    <row r="44" customFormat="false" ht="15" hidden="false" customHeight="false" outlineLevel="0" collapsed="false">
      <c r="A44" s="10" t="s">
        <v>177</v>
      </c>
      <c r="B44" s="20" t="n">
        <f aca="false">Inputs!B15</f>
        <v>5803.7</v>
      </c>
      <c r="C44" s="20" t="n">
        <f aca="false">Inputs!C15</f>
        <v>6401.64</v>
      </c>
      <c r="D44" s="20" t="n">
        <f aca="false">Inputs!D15</f>
        <v>7409</v>
      </c>
      <c r="E44" s="20" t="n">
        <f aca="false">Inputs!E15</f>
        <v>7613.47</v>
      </c>
      <c r="F44" s="20" t="n">
        <f aca="false">Inputs!F15</f>
        <v>7648.15</v>
      </c>
    </row>
    <row r="45" customFormat="false" ht="15" hidden="false" customHeight="false" outlineLevel="0" collapsed="false">
      <c r="A45" s="10" t="s">
        <v>178</v>
      </c>
      <c r="B45" s="20" t="n">
        <f aca="false">Inputs!B16</f>
        <v>3006.2</v>
      </c>
      <c r="C45" s="20" t="n">
        <f aca="false">Inputs!C16</f>
        <v>3172.61</v>
      </c>
      <c r="D45" s="20" t="n">
        <f aca="false">Inputs!D16</f>
        <v>4077.21</v>
      </c>
      <c r="E45" s="20" t="n">
        <f aca="false">Inputs!E16</f>
        <v>4007.62</v>
      </c>
      <c r="F45" s="20" t="n">
        <f aca="false">Inputs!F16</f>
        <v>3666.33</v>
      </c>
    </row>
    <row r="46" customFormat="false" ht="15" hidden="false" customHeight="false" outlineLevel="0" collapsed="false">
      <c r="A46" s="10" t="s">
        <v>85</v>
      </c>
      <c r="B46" s="20" t="n">
        <f aca="false">Inputs!B31</f>
        <v>1512.9</v>
      </c>
      <c r="C46" s="20" t="n">
        <f aca="false">Inputs!C31</f>
        <v>2300.1</v>
      </c>
      <c r="D46" s="20" t="n">
        <f aca="false">Inputs!D31</f>
        <v>1317.6</v>
      </c>
      <c r="E46" s="20" t="n">
        <f aca="false">Inputs!E31</f>
        <v>994.2</v>
      </c>
      <c r="F46" s="20" t="n">
        <f aca="false">Inputs!F31</f>
        <v>1075.5</v>
      </c>
    </row>
    <row r="47" customFormat="false" ht="15" hidden="false" customHeight="false" outlineLevel="0" collapsed="false">
      <c r="A47" s="10" t="s">
        <v>87</v>
      </c>
      <c r="B47" s="20" t="n">
        <f aca="false">Inputs!B33</f>
        <v>317.5</v>
      </c>
      <c r="C47" s="20" t="n">
        <f aca="false">Inputs!C33</f>
        <v>299</v>
      </c>
      <c r="D47" s="20" t="n">
        <f aca="false">Inputs!D33</f>
        <v>293.1</v>
      </c>
      <c r="E47" s="20" t="n">
        <f aca="false">Inputs!E33</f>
        <v>338.6</v>
      </c>
      <c r="F47" s="20" t="n">
        <f aca="false">Inputs!F33</f>
        <v>367</v>
      </c>
    </row>
    <row r="48" customFormat="false" ht="15" hidden="false" customHeight="false" outlineLevel="0" collapsed="false">
      <c r="A48" s="10" t="s">
        <v>100</v>
      </c>
      <c r="B48" s="20" t="n">
        <f aca="false">Inputs!B44</f>
        <v>381.7</v>
      </c>
      <c r="C48" s="20" t="n">
        <f aca="false">Inputs!C44</f>
        <v>502.2</v>
      </c>
      <c r="D48" s="20" t="n">
        <f aca="false">Inputs!D44</f>
        <v>675.7</v>
      </c>
      <c r="E48" s="20" t="n">
        <f aca="false">Inputs!E44</f>
        <v>521.8</v>
      </c>
      <c r="F48" s="20" t="n">
        <f aca="false">Inputs!F44</f>
        <v>256.8</v>
      </c>
    </row>
    <row r="49" customFormat="false" ht="15" hidden="false" customHeight="false" outlineLevel="0" collapsed="false">
      <c r="A49" s="10" t="s">
        <v>179</v>
      </c>
      <c r="B49" s="19" t="n">
        <f aca="false">B46/B44*Inputs!$B$5</f>
        <v>95.1476644209728</v>
      </c>
      <c r="C49" s="19" t="n">
        <f aca="false">C46/C44*Inputs!$B$5</f>
        <v>131.143972482051</v>
      </c>
      <c r="D49" s="19" t="n">
        <f aca="false">D46/D44*Inputs!$B$5</f>
        <v>64.910784181401</v>
      </c>
      <c r="E49" s="19" t="n">
        <f aca="false">E46/E44*Inputs!$B$5</f>
        <v>47.6632862544937</v>
      </c>
      <c r="F49" s="19" t="n">
        <f aca="false">F46/F44*Inputs!$B$5</f>
        <v>51.3271183227316</v>
      </c>
      <c r="G49" s="2" t="s">
        <v>180</v>
      </c>
    </row>
    <row r="50" customFormat="false" ht="15" hidden="false" customHeight="false" outlineLevel="0" collapsed="false">
      <c r="A50" s="10" t="s">
        <v>181</v>
      </c>
      <c r="B50" s="19" t="n">
        <f aca="false">B47/B45*Inputs!$B$5</f>
        <v>38.5494977047435</v>
      </c>
      <c r="C50" s="19" t="n">
        <f aca="false">C47/C45*Inputs!$B$5</f>
        <v>34.3991224890548</v>
      </c>
      <c r="D50" s="19" t="n">
        <f aca="false">D47/D45*Inputs!$B$5</f>
        <v>26.2388986586416</v>
      </c>
      <c r="E50" s="19" t="n">
        <f aca="false">E47/E45*Inputs!$B$5</f>
        <v>30.8385026524471</v>
      </c>
      <c r="F50" s="19" t="n">
        <f aca="false">F47/F45*Inputs!$B$5</f>
        <v>36.5365365365365</v>
      </c>
    </row>
    <row r="51" customFormat="false" ht="15" hidden="false" customHeight="false" outlineLevel="0" collapsed="false">
      <c r="A51" s="10" t="s">
        <v>182</v>
      </c>
      <c r="B51" s="19" t="n">
        <f aca="false">B48/B45*Inputs!$B$5</f>
        <v>46.3443882642539</v>
      </c>
      <c r="C51" s="19" t="n">
        <f aca="false">C48/C45*Inputs!$B$5</f>
        <v>57.7767201137234</v>
      </c>
      <c r="D51" s="19" t="n">
        <f aca="false">D48/D45*Inputs!$B$5</f>
        <v>60.4900164573323</v>
      </c>
      <c r="E51" s="19" t="n">
        <f aca="false">E48/E45*Inputs!$B$5</f>
        <v>47.5237173185082</v>
      </c>
      <c r="F51" s="19" t="n">
        <f aca="false">F48/F45*Inputs!$B$5</f>
        <v>25.5656201160288</v>
      </c>
    </row>
    <row r="52" customFormat="false" ht="15" hidden="false" customHeight="false" outlineLevel="0" collapsed="false">
      <c r="A52" s="5" t="s">
        <v>183</v>
      </c>
      <c r="B52" s="16" t="n">
        <f aca="false">B49+B50-B51</f>
        <v>87.3527738614625</v>
      </c>
      <c r="C52" s="16" t="n">
        <f aca="false">C49+C50-C51</f>
        <v>107.766374857383</v>
      </c>
      <c r="D52" s="16" t="n">
        <f aca="false">D49+D50-D51</f>
        <v>30.6596663827102</v>
      </c>
      <c r="E52" s="16" t="n">
        <f aca="false">E49+E50-E51</f>
        <v>30.9780715884325</v>
      </c>
      <c r="F52" s="16" t="n">
        <f aca="false">F49+F50-F51</f>
        <v>62.2980347432393</v>
      </c>
      <c r="G52" s="2" t="s">
        <v>184</v>
      </c>
    </row>
    <row r="54" customFormat="false" ht="15" hidden="false" customHeight="false" outlineLevel="0" collapsed="false">
      <c r="A54" s="3" t="s">
        <v>185</v>
      </c>
      <c r="B54" s="4"/>
      <c r="C54" s="4"/>
      <c r="D54" s="4"/>
      <c r="E54" s="4"/>
      <c r="F54" s="4"/>
      <c r="G54" s="4"/>
    </row>
    <row r="55" customFormat="false" ht="15" hidden="false" customHeight="false" outlineLevel="0" collapsed="false">
      <c r="A55" s="10" t="s">
        <v>186</v>
      </c>
      <c r="B55" s="20" t="n">
        <f aca="false">Inputs!B60</f>
        <v>16703</v>
      </c>
      <c r="C55" s="20" t="n">
        <f aca="false">Inputs!C60</f>
        <v>16748.21</v>
      </c>
      <c r="D55" s="20" t="n">
        <f aca="false">Inputs!D60</f>
        <v>18653.39</v>
      </c>
      <c r="E55" s="20" t="n">
        <f aca="false">Inputs!E60</f>
        <v>20599.3</v>
      </c>
      <c r="F55" s="20" t="n">
        <f aca="false">Inputs!F60</f>
        <v>20027.06</v>
      </c>
    </row>
    <row r="56" customFormat="false" ht="15" hidden="false" customHeight="false" outlineLevel="0" collapsed="false">
      <c r="A56" s="10" t="s">
        <v>187</v>
      </c>
      <c r="B56" s="26" t="n">
        <f aca="false">B55/B40</f>
        <v>5.97068811438785</v>
      </c>
      <c r="C56" s="26" t="n">
        <f aca="false">C55/C40</f>
        <v>5.18676196876461</v>
      </c>
      <c r="D56" s="26" t="n">
        <f aca="false">D55/D40</f>
        <v>5.59860915603925</v>
      </c>
      <c r="E56" s="26" t="n">
        <f aca="false">E55/E40</f>
        <v>5.71274456785501</v>
      </c>
      <c r="F56" s="26" t="n">
        <f aca="false">F55/F40</f>
        <v>5.02962464400701</v>
      </c>
    </row>
    <row r="57" customFormat="false" ht="15" hidden="false" customHeight="false" outlineLevel="0" collapsed="false">
      <c r="A57" s="10" t="s">
        <v>188</v>
      </c>
      <c r="B57" s="26" t="n">
        <f aca="false">Inputs!B61/B40</f>
        <v>5.78606613047364</v>
      </c>
      <c r="C57" s="26" t="n">
        <f aca="false">Inputs!C61/C40</f>
        <v>5.03306256058321</v>
      </c>
      <c r="D57" s="26" t="n">
        <f aca="false">Inputs!D61/D40</f>
        <v>5.44922999348698</v>
      </c>
      <c r="E57" s="26" t="n">
        <f aca="false">Inputs!E61/E40</f>
        <v>5.19241787650623</v>
      </c>
      <c r="F57" s="26" t="n">
        <f aca="false">Inputs!F61/F40</f>
        <v>4.89714753554907</v>
      </c>
    </row>
    <row r="58" customFormat="false" ht="15" hidden="false" customHeight="false" outlineLevel="0" collapsed="false">
      <c r="A58" s="10" t="s">
        <v>189</v>
      </c>
      <c r="B58" s="27" t="s">
        <v>146</v>
      </c>
      <c r="C58" s="28" t="n">
        <f aca="false">C44/B44-1</f>
        <v>0.103027379085756</v>
      </c>
      <c r="D58" s="28" t="n">
        <f aca="false">D44/C44-1</f>
        <v>0.157359676582876</v>
      </c>
      <c r="E58" s="28" t="n">
        <f aca="false">E44/D44-1</f>
        <v>0.0275975165339453</v>
      </c>
      <c r="F58" s="28" t="n">
        <f aca="false">F44/E44-1</f>
        <v>0.00455508460662468</v>
      </c>
    </row>
    <row r="59" customFormat="false" ht="15" hidden="false" customHeight="false" outlineLevel="0" collapsed="false">
      <c r="A59" s="10" t="s">
        <v>190</v>
      </c>
      <c r="B59" s="28" t="n">
        <f aca="false">B40/B44</f>
        <v>0.482020090631838</v>
      </c>
      <c r="C59" s="28" t="n">
        <f aca="false">C40/C44</f>
        <v>0.504406683287408</v>
      </c>
      <c r="D59" s="28" t="n">
        <f aca="false">D40/D44</f>
        <v>0.4496949655824</v>
      </c>
      <c r="E59" s="28" t="n">
        <f aca="false">E40/E44</f>
        <v>0.473614527935357</v>
      </c>
      <c r="F59" s="28" t="n">
        <f aca="false">F40/F44</f>
        <v>0.520625249243281</v>
      </c>
    </row>
    <row r="60" customFormat="false" ht="15" hidden="false" customHeight="false" outlineLevel="0" collapsed="false">
      <c r="A60" s="10" t="s">
        <v>191</v>
      </c>
      <c r="B60" s="28" t="n">
        <f aca="false">B8/B44</f>
        <v>0.101250926133329</v>
      </c>
      <c r="C60" s="28" t="n">
        <f aca="false">C8/C44</f>
        <v>0.129187208277879</v>
      </c>
      <c r="D60" s="28" t="n">
        <f aca="false">D8/D44</f>
        <v>0.124262383587529</v>
      </c>
      <c r="E60" s="28" t="n">
        <f aca="false">E8/E44</f>
        <v>0.106869797871404</v>
      </c>
      <c r="F60" s="28" t="n">
        <f aca="false">F8/F44</f>
        <v>0.116760262285651</v>
      </c>
    </row>
    <row r="62" customFormat="false" ht="15" hidden="false" customHeight="false" outlineLevel="0" collapsed="false">
      <c r="A62" s="3" t="s">
        <v>192</v>
      </c>
      <c r="B62" s="4"/>
      <c r="C62" s="4"/>
      <c r="D62" s="4"/>
      <c r="E62" s="4"/>
      <c r="F62" s="4"/>
      <c r="G62" s="4"/>
    </row>
    <row r="63" customFormat="false" ht="15" hidden="false" customHeight="false" outlineLevel="0" collapsed="false">
      <c r="A63" s="5" t="s">
        <v>23</v>
      </c>
      <c r="B63" s="5" t="str">
        <f aca="false">IF(ISNUMBER(B14),IF(B14&gt;=Inputs!$B$7,"OK","BREACH"),"n.a.")</f>
        <v>n.a.</v>
      </c>
      <c r="C63" s="5" t="str">
        <f aca="false">IF(ISNUMBER(C14),IF(C14&gt;=Inputs!$B$7,"OK","BREACH"),"n.a.")</f>
        <v>OK</v>
      </c>
      <c r="D63" s="5" t="str">
        <f aca="false">IF(ISNUMBER(D14),IF(D14&gt;=Inputs!$B$7,"OK","BREACH"),"n.a.")</f>
        <v>OK</v>
      </c>
      <c r="E63" s="5" t="str">
        <f aca="false">IF(ISNUMBER(E14),IF(E14&gt;=Inputs!$B$7,"OK","BREACH"),"n.a.")</f>
        <v>OK</v>
      </c>
      <c r="F63" s="5" t="str">
        <f aca="false">IF(ISNUMBER(F14),IF(F14&gt;=Inputs!$B$7,"OK","BREACH"),"n.a.")</f>
        <v>BREACH</v>
      </c>
    </row>
    <row r="64" customFormat="false" ht="15" hidden="false" customHeight="false" outlineLevel="0" collapsed="false">
      <c r="A64" s="5" t="s">
        <v>27</v>
      </c>
      <c r="B64" s="5" t="str">
        <f aca="false">IF(ISNUMBER(B32),IF(B32&gt;=Inputs!$B$8,"OK","BREACH"),"n.a.")</f>
        <v>OK</v>
      </c>
      <c r="C64" s="5" t="str">
        <f aca="false">IF(ISNUMBER(C32),IF(C32&gt;=Inputs!$B$8,"OK","BREACH"),"n.a.")</f>
        <v>OK</v>
      </c>
      <c r="D64" s="5" t="str">
        <f aca="false">IF(ISNUMBER(D32),IF(D32&gt;=Inputs!$B$8,"OK","BREACH"),"n.a.")</f>
        <v>OK</v>
      </c>
      <c r="E64" s="5" t="str">
        <f aca="false">IF(ISNUMBER(E32),IF(E32&gt;=Inputs!$B$8,"OK","BREACH"),"n.a.")</f>
        <v>OK</v>
      </c>
      <c r="F64" s="5" t="str">
        <f aca="false">IF(ISNUMBER(F32),IF(F32&gt;=Inputs!$B$8,"OK","BREACH"),"n.a.")</f>
        <v>OK</v>
      </c>
    </row>
    <row r="65" customFormat="false" ht="15" hidden="false" customHeight="false" outlineLevel="0" collapsed="false">
      <c r="A65" s="5" t="s">
        <v>25</v>
      </c>
      <c r="B65" s="5" t="str">
        <f aca="false">IF(ISNUMBER(B24),IF(B24&lt;=Inputs!$B$9,"OK","BREACH"),"n.a.")</f>
        <v>OK</v>
      </c>
      <c r="C65" s="5" t="str">
        <f aca="false">IF(ISNUMBER(C24),IF(C24&lt;=Inputs!$B$9,"OK","BREACH"),"n.a.")</f>
        <v>OK</v>
      </c>
      <c r="D65" s="5" t="str">
        <f aca="false">IF(ISNUMBER(D24),IF(D24&lt;=Inputs!$B$9,"OK","BREACH"),"n.a.")</f>
        <v>OK</v>
      </c>
      <c r="E65" s="5" t="str">
        <f aca="false">IF(ISNUMBER(E24),IF(E24&lt;=Inputs!$B$9,"OK","BREACH"),"n.a.")</f>
        <v>OK</v>
      </c>
      <c r="F65" s="5" t="str">
        <f aca="false">IF(ISNUMBER(F24),IF(F24&lt;=Inputs!$B$9,"OK","BREACH"),"n.a.")</f>
        <v>OK</v>
      </c>
    </row>
    <row r="66" customFormat="false" ht="15" hidden="false" customHeight="false" outlineLevel="0" collapsed="false">
      <c r="A66" s="5" t="s">
        <v>29</v>
      </c>
      <c r="B66" s="5" t="str">
        <f aca="false">IF(ISNUMBER(B39),IF(B39&gt;=Inputs!$B$10,"OK","BREACH"),"n.a.")</f>
        <v>BREACH</v>
      </c>
      <c r="C66" s="5" t="str">
        <f aca="false">IF(ISNUMBER(C39),IF(C39&gt;=Inputs!$B$10,"OK","BREACH"),"n.a.")</f>
        <v>OK</v>
      </c>
      <c r="D66" s="5" t="str">
        <f aca="false">IF(ISNUMBER(D39),IF(D39&gt;=Inputs!$B$10,"OK","BREACH"),"n.a.")</f>
        <v>OK</v>
      </c>
      <c r="E66" s="5" t="str">
        <f aca="false">IF(ISNUMBER(E39),IF(E39&gt;=Inputs!$B$10,"OK","BREACH"),"n.a.")</f>
        <v>OK</v>
      </c>
      <c r="F66" s="5" t="str">
        <f aca="false">IF(ISNUMBER(F39),IF(F39&gt;=Inputs!$B$10,"OK","BREACH"),"n.a.")</f>
        <v>OK</v>
      </c>
    </row>
  </sheetData>
  <conditionalFormatting sqref="B14:F14">
    <cfRule type="expression" priority="2" aboveAverage="0" equalAverage="0" bottom="0" percent="0" rank="0" text="" dxfId="0">
      <formula>AND(ISNUMBER(B14),B14&lt;Inputs!$B$7)</formula>
    </cfRule>
  </conditionalFormatting>
  <conditionalFormatting sqref="B32:F32">
    <cfRule type="expression" priority="3" aboveAverage="0" equalAverage="0" bottom="0" percent="0" rank="0" text="" dxfId="0">
      <formula>AND(ISNUMBER(B32),B32&lt;Inputs!$B$8)</formula>
    </cfRule>
  </conditionalFormatting>
  <conditionalFormatting sqref="B39:F39">
    <cfRule type="expression" priority="4" aboveAverage="0" equalAverage="0" bottom="0" percent="0" rank="0" text="" dxfId="0">
      <formula>AND(ISNUMBER(B39),B39&lt;Inputs!$B$10)</formula>
    </cfRule>
  </conditionalFormatting>
  <conditionalFormatting sqref="B24:F24">
    <cfRule type="expression" priority="5" aboveAverage="0" equalAverage="0" bottom="0" percent="0" rank="0" text="" dxfId="0">
      <formula>AND(ISNUMBER(B24),B24&gt;Inputs!$B$9)</formula>
    </cfRule>
  </conditionalFormatting>
  <conditionalFormatting sqref="B63:F63">
    <cfRule type="expression" priority="6" aboveAverage="0" equalAverage="0" bottom="0" percent="0" rank="0" text="" dxfId="0">
      <formula>B63="BREACH"</formula>
    </cfRule>
    <cfRule type="expression" priority="7" aboveAverage="0" equalAverage="0" bottom="0" percent="0" rank="0" text="" dxfId="1">
      <formula>B63="OK"</formula>
    </cfRule>
  </conditionalFormatting>
  <conditionalFormatting sqref="B64:F64">
    <cfRule type="expression" priority="8" aboveAverage="0" equalAverage="0" bottom="0" percent="0" rank="0" text="" dxfId="0">
      <formula>B64="BREACH"</formula>
    </cfRule>
    <cfRule type="expression" priority="9" aboveAverage="0" equalAverage="0" bottom="0" percent="0" rank="0" text="" dxfId="1">
      <formula>B64="OK"</formula>
    </cfRule>
  </conditionalFormatting>
  <conditionalFormatting sqref="B65:F65">
    <cfRule type="expression" priority="10" aboveAverage="0" equalAverage="0" bottom="0" percent="0" rank="0" text="" dxfId="0">
      <formula>B65="BREACH"</formula>
    </cfRule>
    <cfRule type="expression" priority="11" aboveAverage="0" equalAverage="0" bottom="0" percent="0" rank="0" text="" dxfId="1">
      <formula>B65="OK"</formula>
    </cfRule>
  </conditionalFormatting>
  <conditionalFormatting sqref="B66:F66">
    <cfRule type="expression" priority="12" aboveAverage="0" equalAverage="0" bottom="0" percent="0" rank="0" text="" dxfId="0">
      <formula>B66="BREACH"</formula>
    </cfRule>
    <cfRule type="expression" priority="13" aboveAverage="0" equalAverage="0" bottom="0" percent="0" rank="0" text="" dxfId="1">
      <formula>B66="OK"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1" min="2" style="0" width="12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</row>
    <row r="4" customFormat="false" ht="15" hidden="false" customHeight="false" outlineLevel="0" collapsed="false">
      <c r="A4" s="29"/>
      <c r="B4" s="14" t="s">
        <v>195</v>
      </c>
      <c r="C4" s="14" t="s">
        <v>195</v>
      </c>
      <c r="D4" s="14" t="s">
        <v>195</v>
      </c>
      <c r="E4" s="14" t="s">
        <v>195</v>
      </c>
      <c r="F4" s="14" t="s">
        <v>195</v>
      </c>
      <c r="G4" s="30" t="s">
        <v>196</v>
      </c>
      <c r="H4" s="30" t="s">
        <v>196</v>
      </c>
      <c r="I4" s="30" t="s">
        <v>196</v>
      </c>
      <c r="J4" s="30" t="s">
        <v>196</v>
      </c>
      <c r="K4" s="30" t="s">
        <v>196</v>
      </c>
    </row>
    <row r="5" customFormat="false" ht="15" hidden="false" customHeight="false" outlineLevel="0" collapsed="false">
      <c r="A5" s="13" t="s">
        <v>59</v>
      </c>
      <c r="B5" s="14" t="s">
        <v>60</v>
      </c>
      <c r="C5" s="14" t="s">
        <v>61</v>
      </c>
      <c r="D5" s="14" t="s">
        <v>62</v>
      </c>
      <c r="E5" s="14" t="s">
        <v>63</v>
      </c>
      <c r="F5" s="14" t="s">
        <v>64</v>
      </c>
      <c r="G5" s="30" t="s">
        <v>197</v>
      </c>
      <c r="H5" s="30" t="s">
        <v>198</v>
      </c>
      <c r="I5" s="30" t="s">
        <v>199</v>
      </c>
      <c r="J5" s="30" t="s">
        <v>200</v>
      </c>
      <c r="K5" s="30" t="s">
        <v>201</v>
      </c>
      <c r="L5" s="13" t="s">
        <v>202</v>
      </c>
    </row>
    <row r="6" customFormat="false" ht="15" hidden="false" customHeight="false" outlineLevel="0" collapsed="false">
      <c r="A6" s="3" t="s">
        <v>203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10" t="s">
        <v>189</v>
      </c>
      <c r="C7" s="28" t="n">
        <f aca="false">C27/B27-1</f>
        <v>0.103027379085756</v>
      </c>
      <c r="D7" s="28" t="n">
        <f aca="false">D27/C27-1</f>
        <v>0.157359676582876</v>
      </c>
      <c r="E7" s="28" t="n">
        <f aca="false">E27/D27-1</f>
        <v>0.0275975165339453</v>
      </c>
      <c r="F7" s="28" t="n">
        <f aca="false">F27/E27-1</f>
        <v>0.00455508460662468</v>
      </c>
      <c r="G7" s="31" t="n">
        <v>0.08</v>
      </c>
      <c r="H7" s="31" t="n">
        <v>0.08</v>
      </c>
      <c r="I7" s="31" t="n">
        <v>0.07</v>
      </c>
      <c r="J7" s="31" t="n">
        <v>0.07</v>
      </c>
      <c r="K7" s="31" t="n">
        <v>0.06</v>
      </c>
      <c r="L7" s="2" t="s">
        <v>204</v>
      </c>
    </row>
    <row r="8" customFormat="false" ht="15" hidden="false" customHeight="false" outlineLevel="0" collapsed="false">
      <c r="A8" s="10" t="s">
        <v>190</v>
      </c>
      <c r="B8" s="28" t="n">
        <f aca="false">B29/B27</f>
        <v>0.482020090631838</v>
      </c>
      <c r="C8" s="28" t="n">
        <f aca="false">C29/C27</f>
        <v>0.504406683287408</v>
      </c>
      <c r="D8" s="28" t="n">
        <f aca="false">D29/D27</f>
        <v>0.4496949655824</v>
      </c>
      <c r="E8" s="28" t="n">
        <f aca="false">E29/E27</f>
        <v>0.473614527935357</v>
      </c>
      <c r="F8" s="28" t="n">
        <f aca="false">F29/F27</f>
        <v>0.520625249243281</v>
      </c>
      <c r="G8" s="31" t="n">
        <v>0.52</v>
      </c>
      <c r="H8" s="31" t="n">
        <v>0.52</v>
      </c>
      <c r="I8" s="31" t="n">
        <v>0.52</v>
      </c>
      <c r="J8" s="31" t="n">
        <v>0.52</v>
      </c>
      <c r="K8" s="31" t="n">
        <v>0.52</v>
      </c>
      <c r="L8" s="2" t="s">
        <v>205</v>
      </c>
    </row>
    <row r="9" customFormat="false" ht="15" hidden="false" customHeight="false" outlineLevel="0" collapsed="false">
      <c r="A9" s="10" t="s">
        <v>206</v>
      </c>
      <c r="B9" s="28" t="n">
        <f aca="false">B30/B27</f>
        <v>0.095068663094233</v>
      </c>
      <c r="C9" s="28" t="n">
        <f aca="false">C30/C27</f>
        <v>0.0471238620103599</v>
      </c>
      <c r="D9" s="28" t="n">
        <f aca="false">D30/D27</f>
        <v>0.106999595087056</v>
      </c>
      <c r="E9" s="28" t="n">
        <f aca="false">E30/E27</f>
        <v>0.0549131998943977</v>
      </c>
      <c r="F9" s="28" t="n">
        <f aca="false">F30/F27</f>
        <v>0.0269123905781137</v>
      </c>
      <c r="G9" s="31" t="n">
        <v>0.027</v>
      </c>
      <c r="H9" s="31" t="n">
        <v>0.027</v>
      </c>
      <c r="I9" s="31" t="n">
        <v>0.027</v>
      </c>
      <c r="J9" s="31" t="n">
        <v>0.027</v>
      </c>
      <c r="K9" s="31" t="n">
        <v>0.027</v>
      </c>
      <c r="L9" s="2" t="s">
        <v>207</v>
      </c>
    </row>
    <row r="10" customFormat="false" ht="15" hidden="false" customHeight="false" outlineLevel="0" collapsed="false">
      <c r="A10" s="10" t="s">
        <v>208</v>
      </c>
      <c r="C10" s="28" t="n">
        <f aca="false">C33/(B51+B52)</f>
        <v>0.0304431176281207</v>
      </c>
      <c r="D10" s="28" t="n">
        <f aca="false">D33/(C51+C52)</f>
        <v>0.037562859602229</v>
      </c>
      <c r="E10" s="28" t="n">
        <f aca="false">E33/(D51+D52)</f>
        <v>0.0406572523450908</v>
      </c>
      <c r="F10" s="28" t="n">
        <f aca="false">F33/(E51+E52)</f>
        <v>0.0463928958796264</v>
      </c>
      <c r="G10" s="31" t="n">
        <v>0.046</v>
      </c>
      <c r="H10" s="31" t="n">
        <v>0.046</v>
      </c>
      <c r="I10" s="31" t="n">
        <v>0.046</v>
      </c>
      <c r="J10" s="31" t="n">
        <v>0.046</v>
      </c>
      <c r="K10" s="31" t="n">
        <v>0.046</v>
      </c>
      <c r="L10" s="2" t="s">
        <v>209</v>
      </c>
    </row>
    <row r="11" customFormat="false" ht="15" hidden="false" customHeight="false" outlineLevel="0" collapsed="false">
      <c r="A11" s="10" t="s">
        <v>210</v>
      </c>
      <c r="C11" s="28" t="n">
        <f aca="false">C31/AVERAGE(B43,C43)</f>
        <v>0.090557561295989</v>
      </c>
      <c r="D11" s="28" t="n">
        <f aca="false">D31/AVERAGE(C43,D43)</f>
        <v>0.105267558528428</v>
      </c>
      <c r="E11" s="28" t="n">
        <f aca="false">E31/AVERAGE(D43,E43)</f>
        <v>0.0913027871465624</v>
      </c>
      <c r="F11" s="28" t="n">
        <f aca="false">F31/AVERAGE(E43,F43)</f>
        <v>0.0864044920588505</v>
      </c>
      <c r="G11" s="31" t="n">
        <v>0.086</v>
      </c>
      <c r="H11" s="31" t="n">
        <v>0.086</v>
      </c>
      <c r="I11" s="31" t="n">
        <v>0.086</v>
      </c>
      <c r="J11" s="31" t="n">
        <v>0.086</v>
      </c>
      <c r="K11" s="31" t="n">
        <v>0.086</v>
      </c>
      <c r="L11" s="2" t="s">
        <v>211</v>
      </c>
    </row>
    <row r="12" customFormat="false" ht="15" hidden="false" customHeight="false" outlineLevel="0" collapsed="false">
      <c r="A12" s="10" t="s">
        <v>212</v>
      </c>
      <c r="B12" s="28" t="n">
        <f aca="false">IF(B34-B32&gt;0,B35/(B34-B32),0)</f>
        <v>0.242608202510762</v>
      </c>
      <c r="C12" s="28" t="n">
        <f aca="false">IF(C34-C32&gt;0,C35/(C34-C32),0)</f>
        <v>0.301482326111745</v>
      </c>
      <c r="D12" s="28" t="n">
        <f aca="false">IF(D34-D32&gt;0,D35/(D34-D32),0)</f>
        <v>0.272941213633635</v>
      </c>
      <c r="E12" s="28" t="n">
        <f aca="false">IF(E34-E32&gt;0,E35/(E34-E32),0)</f>
        <v>0.318756488830838</v>
      </c>
      <c r="F12" s="28" t="n">
        <f aca="false">IF(F34-F32&gt;0,F35/(F34-F32),0)</f>
        <v>0.307998698138648</v>
      </c>
      <c r="G12" s="31" t="n">
        <v>0.3</v>
      </c>
      <c r="H12" s="31" t="n">
        <v>0.3</v>
      </c>
      <c r="I12" s="31" t="n">
        <v>0.3</v>
      </c>
      <c r="J12" s="31" t="n">
        <v>0.3</v>
      </c>
      <c r="K12" s="31" t="n">
        <v>0.3</v>
      </c>
      <c r="L12" s="2" t="s">
        <v>213</v>
      </c>
    </row>
    <row r="13" customFormat="false" ht="15" hidden="false" customHeight="false" outlineLevel="0" collapsed="false">
      <c r="A13" s="10" t="s">
        <v>214</v>
      </c>
      <c r="B13" s="20" t="n">
        <f aca="false">Inputs!B65</f>
        <v>247.3</v>
      </c>
      <c r="C13" s="20" t="n">
        <f aca="false">Inputs!C65</f>
        <v>49.49</v>
      </c>
      <c r="D13" s="20" t="n">
        <f aca="false">Inputs!D65</f>
        <v>29.11</v>
      </c>
      <c r="E13" s="20" t="n">
        <f aca="false">Inputs!E65</f>
        <v>112.6</v>
      </c>
      <c r="F13" s="20" t="n">
        <f aca="false">Inputs!F65</f>
        <v>64.2</v>
      </c>
      <c r="G13" s="32" t="n">
        <v>80</v>
      </c>
      <c r="H13" s="32" t="n">
        <v>80</v>
      </c>
      <c r="I13" s="32" t="n">
        <v>80</v>
      </c>
      <c r="J13" s="32" t="n">
        <v>80</v>
      </c>
      <c r="K13" s="32" t="n">
        <v>80</v>
      </c>
      <c r="L13" s="2" t="s">
        <v>215</v>
      </c>
    </row>
    <row r="14" customFormat="false" ht="15" hidden="false" customHeight="false" outlineLevel="0" collapsed="false">
      <c r="A14" s="10" t="s">
        <v>216</v>
      </c>
      <c r="B14" s="20" t="n">
        <f aca="false">Inputs!B66</f>
        <v>1142.3</v>
      </c>
      <c r="C14" s="20" t="n">
        <f aca="false">Inputs!C66</f>
        <v>381.4</v>
      </c>
      <c r="D14" s="20" t="n">
        <f aca="false">Inputs!D66</f>
        <v>209.9</v>
      </c>
      <c r="E14" s="20" t="n">
        <f aca="false">Inputs!E66</f>
        <v>86.03</v>
      </c>
      <c r="F14" s="20" t="n">
        <f aca="false">Inputs!F66</f>
        <v>667.9</v>
      </c>
      <c r="G14" s="32" t="n">
        <v>700</v>
      </c>
      <c r="H14" s="32" t="n">
        <v>700</v>
      </c>
      <c r="I14" s="32" t="n">
        <v>700</v>
      </c>
      <c r="J14" s="32" t="n">
        <v>700</v>
      </c>
      <c r="K14" s="32" t="n">
        <v>700</v>
      </c>
      <c r="L14" s="2" t="s">
        <v>217</v>
      </c>
    </row>
    <row r="15" customFormat="false" ht="15" hidden="false" customHeight="false" outlineLevel="0" collapsed="false">
      <c r="A15" s="10" t="s">
        <v>218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2" t="s">
        <v>219</v>
      </c>
    </row>
    <row r="16" customFormat="false" ht="15" hidden="false" customHeight="false" outlineLevel="0" collapsed="false">
      <c r="A16" s="10" t="s">
        <v>220</v>
      </c>
      <c r="G16" s="32" t="n">
        <v>500</v>
      </c>
      <c r="H16" s="32" t="n">
        <v>500</v>
      </c>
      <c r="I16" s="32" t="n">
        <v>500</v>
      </c>
      <c r="J16" s="32" t="n">
        <v>500</v>
      </c>
      <c r="K16" s="32" t="n">
        <v>500</v>
      </c>
      <c r="L16" s="2" t="s">
        <v>221</v>
      </c>
    </row>
    <row r="17" customFormat="false" ht="15" hidden="false" customHeight="false" outlineLevel="0" collapsed="false">
      <c r="A17" s="10" t="s">
        <v>222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>
        <v>0</v>
      </c>
    </row>
    <row r="18" customFormat="false" ht="15" hidden="false" customHeight="false" outlineLevel="0" collapsed="false">
      <c r="A18" s="10" t="s">
        <v>223</v>
      </c>
      <c r="B18" s="28" t="n">
        <f aca="false">B59/(B59+B61)</f>
        <v>0.0394852261518515</v>
      </c>
      <c r="C18" s="28" t="n">
        <f aca="false">C59/(C59+C61)</f>
        <v>0.075076367162023</v>
      </c>
      <c r="D18" s="28" t="n">
        <f aca="false">D59/(D59+D61)</f>
        <v>0.0669824277621761</v>
      </c>
      <c r="E18" s="28" t="n">
        <f aca="false">E59/(E59+E61)</f>
        <v>0.0720677925761377</v>
      </c>
      <c r="F18" s="28" t="n">
        <f aca="false">F59/(F59+F61)</f>
        <v>0.0871778506548677</v>
      </c>
      <c r="G18" s="31" t="n">
        <v>0.09</v>
      </c>
      <c r="H18" s="31" t="n">
        <v>0.09</v>
      </c>
      <c r="I18" s="31" t="n">
        <v>0.09</v>
      </c>
      <c r="J18" s="31" t="n">
        <v>0.09</v>
      </c>
      <c r="K18" s="31" t="n">
        <v>0.09</v>
      </c>
      <c r="L18" s="2" t="s">
        <v>224</v>
      </c>
    </row>
    <row r="19" customFormat="false" ht="15" hidden="false" customHeight="false" outlineLevel="0" collapsed="false">
      <c r="A19" s="10" t="s">
        <v>225</v>
      </c>
      <c r="B19" s="28" t="n">
        <f aca="false">IF(B36&gt;0,Inputs!B67/B36,0)</f>
        <v>0</v>
      </c>
      <c r="C19" s="28" t="n">
        <f aca="false">IF(C36&gt;0,Inputs!C67/C36,0)</f>
        <v>0.0912806374771768</v>
      </c>
      <c r="D19" s="28" t="n">
        <f aca="false">IF(D36&gt;0,Inputs!D67/D36,0)</f>
        <v>0.180414050789651</v>
      </c>
      <c r="E19" s="28" t="n">
        <f aca="false">IF(E36&gt;0,Inputs!E67/E36,0)</f>
        <v>0.0365077110450937</v>
      </c>
      <c r="F19" s="28" t="n">
        <f aca="false">IF(F36&gt;0,Inputs!F67/F36,0)</f>
        <v>0.149115070265185</v>
      </c>
      <c r="G19" s="31" t="n">
        <v>0.15</v>
      </c>
      <c r="H19" s="31" t="n">
        <v>0.15</v>
      </c>
      <c r="I19" s="31" t="n">
        <v>0.15</v>
      </c>
      <c r="J19" s="31" t="n">
        <v>0.15</v>
      </c>
      <c r="K19" s="31" t="n">
        <v>0.15</v>
      </c>
      <c r="L19" s="2" t="s">
        <v>226</v>
      </c>
    </row>
    <row r="20" customFormat="false" ht="15" hidden="false" customHeight="false" outlineLevel="0" collapsed="false">
      <c r="A20" s="10" t="s">
        <v>179</v>
      </c>
      <c r="B20" s="19" t="n">
        <f aca="false">B92</f>
        <v>95.1476644209728</v>
      </c>
      <c r="C20" s="19" t="n">
        <f aca="false">C92</f>
        <v>131.143972482051</v>
      </c>
      <c r="D20" s="19" t="n">
        <f aca="false">D92</f>
        <v>64.910784181401</v>
      </c>
      <c r="E20" s="19" t="n">
        <f aca="false">E92</f>
        <v>47.6632862544937</v>
      </c>
      <c r="F20" s="19" t="n">
        <f aca="false">F92</f>
        <v>51.3271183227316</v>
      </c>
      <c r="G20" s="32" t="n">
        <v>51</v>
      </c>
      <c r="H20" s="32" t="n">
        <v>51</v>
      </c>
      <c r="I20" s="32" t="n">
        <v>51</v>
      </c>
      <c r="J20" s="32" t="n">
        <v>51</v>
      </c>
      <c r="K20" s="32" t="n">
        <v>51</v>
      </c>
    </row>
    <row r="21" customFormat="false" ht="15" hidden="false" customHeight="false" outlineLevel="0" collapsed="false">
      <c r="A21" s="10" t="s">
        <v>181</v>
      </c>
      <c r="B21" s="19" t="n">
        <f aca="false">B93</f>
        <v>38.5494977047435</v>
      </c>
      <c r="C21" s="19" t="n">
        <f aca="false">C93</f>
        <v>34.3991224890548</v>
      </c>
      <c r="D21" s="19" t="n">
        <f aca="false">D93</f>
        <v>26.2388986586416</v>
      </c>
      <c r="E21" s="19" t="n">
        <f aca="false">E93</f>
        <v>30.8385026524471</v>
      </c>
      <c r="F21" s="19" t="n">
        <f aca="false">F93</f>
        <v>36.5365365365365</v>
      </c>
      <c r="G21" s="32" t="n">
        <v>36.5</v>
      </c>
      <c r="H21" s="32" t="n">
        <v>36.5</v>
      </c>
      <c r="I21" s="32" t="n">
        <v>36.5</v>
      </c>
      <c r="J21" s="32" t="n">
        <v>36.5</v>
      </c>
      <c r="K21" s="32" t="n">
        <v>36.5</v>
      </c>
    </row>
    <row r="22" customFormat="false" ht="15" hidden="false" customHeight="false" outlineLevel="0" collapsed="false">
      <c r="A22" s="10" t="s">
        <v>182</v>
      </c>
      <c r="B22" s="19" t="n">
        <f aca="false">B94</f>
        <v>46.3443882642539</v>
      </c>
      <c r="C22" s="19" t="n">
        <f aca="false">C94</f>
        <v>57.7767201137234</v>
      </c>
      <c r="D22" s="19" t="n">
        <f aca="false">D94</f>
        <v>60.4900164573323</v>
      </c>
      <c r="E22" s="19" t="n">
        <f aca="false">E94</f>
        <v>47.5237173185082</v>
      </c>
      <c r="F22" s="19" t="n">
        <f aca="false">F94</f>
        <v>25.5656201160288</v>
      </c>
      <c r="G22" s="32" t="n">
        <v>25.6</v>
      </c>
      <c r="H22" s="32" t="n">
        <v>25.6</v>
      </c>
      <c r="I22" s="32" t="n">
        <v>25.6</v>
      </c>
      <c r="J22" s="32" t="n">
        <v>25.6</v>
      </c>
      <c r="K22" s="32" t="n">
        <v>25.6</v>
      </c>
    </row>
    <row r="23" customFormat="false" ht="15" hidden="false" customHeight="false" outlineLevel="0" collapsed="false">
      <c r="A23" s="10" t="s">
        <v>227</v>
      </c>
      <c r="B23" s="28" t="n">
        <f aca="false">B49/B27</f>
        <v>0.479111601219911</v>
      </c>
      <c r="C23" s="28" t="n">
        <f aca="false">C49/C27</f>
        <v>0.604485725532832</v>
      </c>
      <c r="D23" s="28" t="n">
        <f aca="false">D49/D27</f>
        <v>0.368605749763801</v>
      </c>
      <c r="E23" s="28" t="n">
        <f aca="false">E49/E27</f>
        <v>0.354592583933476</v>
      </c>
      <c r="F23" s="28" t="n">
        <f aca="false">F49/F27</f>
        <v>0.354556330615901</v>
      </c>
      <c r="G23" s="31" t="n">
        <v>0.355</v>
      </c>
      <c r="H23" s="31" t="n">
        <v>0.355</v>
      </c>
      <c r="I23" s="31" t="n">
        <v>0.355</v>
      </c>
      <c r="J23" s="31" t="n">
        <v>0.355</v>
      </c>
      <c r="K23" s="31" t="n">
        <v>0.355</v>
      </c>
    </row>
    <row r="24" customFormat="false" ht="15" hidden="false" customHeight="false" outlineLevel="0" collapsed="false">
      <c r="A24" s="10" t="s">
        <v>228</v>
      </c>
      <c r="B24" s="28" t="n">
        <f aca="false">B57/B27</f>
        <v>0.219844237296897</v>
      </c>
      <c r="C24" s="28" t="n">
        <f aca="false">C57/C27</f>
        <v>0.204063333770721</v>
      </c>
      <c r="D24" s="28" t="n">
        <f aca="false">D57/D27</f>
        <v>0.193617222297206</v>
      </c>
      <c r="E24" s="28" t="n">
        <f aca="false">E57/E27</f>
        <v>0.175883007354071</v>
      </c>
      <c r="F24" s="28" t="n">
        <f aca="false">F57/F27</f>
        <v>0.168343978609206</v>
      </c>
      <c r="G24" s="31" t="n">
        <v>0.168</v>
      </c>
      <c r="H24" s="31" t="n">
        <v>0.168</v>
      </c>
      <c r="I24" s="31" t="n">
        <v>0.168</v>
      </c>
      <c r="J24" s="31" t="n">
        <v>0.168</v>
      </c>
      <c r="K24" s="31" t="n">
        <v>0.168</v>
      </c>
    </row>
    <row r="26" customFormat="false" ht="15" hidden="false" customHeight="false" outlineLevel="0" collapsed="false">
      <c r="A26" s="3" t="s">
        <v>66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15" hidden="false" customHeight="false" outlineLevel="0" collapsed="false">
      <c r="A27" s="5" t="s">
        <v>177</v>
      </c>
      <c r="B27" s="33" t="n">
        <f aca="false">Inputs!B15</f>
        <v>5803.7</v>
      </c>
      <c r="C27" s="33" t="n">
        <f aca="false">Inputs!C15</f>
        <v>6401.64</v>
      </c>
      <c r="D27" s="33" t="n">
        <f aca="false">Inputs!D15</f>
        <v>7409</v>
      </c>
      <c r="E27" s="33" t="n">
        <f aca="false">Inputs!E15</f>
        <v>7613.47</v>
      </c>
      <c r="F27" s="33" t="n">
        <f aca="false">Inputs!F15</f>
        <v>7648.15</v>
      </c>
      <c r="G27" s="18" t="n">
        <f aca="false">F27*(1+G7)</f>
        <v>8260.002</v>
      </c>
      <c r="H27" s="18" t="n">
        <f aca="false">G27*(1+H7)</f>
        <v>8920.80216</v>
      </c>
      <c r="I27" s="18" t="n">
        <f aca="false">H27*(1+I7)</f>
        <v>9545.2583112</v>
      </c>
      <c r="J27" s="18" t="n">
        <f aca="false">I27*(1+J7)</f>
        <v>10213.426392984</v>
      </c>
      <c r="K27" s="18" t="n">
        <f aca="false">J27*(1+K7)</f>
        <v>10826.231976563</v>
      </c>
    </row>
    <row r="28" customFormat="false" ht="15" hidden="false" customHeight="false" outlineLevel="0" collapsed="false">
      <c r="A28" s="10" t="s">
        <v>178</v>
      </c>
      <c r="B28" s="20" t="n">
        <f aca="false">Inputs!B16</f>
        <v>3006.2</v>
      </c>
      <c r="C28" s="20" t="n">
        <f aca="false">Inputs!C16</f>
        <v>3172.61</v>
      </c>
      <c r="D28" s="20" t="n">
        <f aca="false">Inputs!D16</f>
        <v>4077.21</v>
      </c>
      <c r="E28" s="20" t="n">
        <f aca="false">Inputs!E16</f>
        <v>4007.62</v>
      </c>
      <c r="F28" s="20" t="n">
        <f aca="false">Inputs!F16</f>
        <v>3666.33</v>
      </c>
      <c r="G28" s="19" t="n">
        <f aca="false">G27-G29</f>
        <v>3964.80096</v>
      </c>
      <c r="H28" s="19" t="n">
        <f aca="false">H27-H29</f>
        <v>4281.9850368</v>
      </c>
      <c r="I28" s="19" t="n">
        <f aca="false">I27-I29</f>
        <v>4581.723989376</v>
      </c>
      <c r="J28" s="19" t="n">
        <f aca="false">J27-J29</f>
        <v>4902.44466863232</v>
      </c>
      <c r="K28" s="19" t="n">
        <f aca="false">K27-K29</f>
        <v>5196.59134875026</v>
      </c>
    </row>
    <row r="29" customFormat="false" ht="15" hidden="false" customHeight="false" outlineLevel="0" collapsed="false">
      <c r="A29" s="5" t="s">
        <v>174</v>
      </c>
      <c r="B29" s="16" t="n">
        <f aca="false">B27-B28</f>
        <v>2797.5</v>
      </c>
      <c r="C29" s="16" t="n">
        <f aca="false">C27-C28</f>
        <v>3229.03</v>
      </c>
      <c r="D29" s="16" t="n">
        <f aca="false">D27-D28</f>
        <v>3331.79</v>
      </c>
      <c r="E29" s="16" t="n">
        <f aca="false">E27-E28</f>
        <v>3605.85</v>
      </c>
      <c r="F29" s="16" t="n">
        <f aca="false">F27-F28</f>
        <v>3981.82</v>
      </c>
      <c r="G29" s="16" t="n">
        <f aca="false">G27*G8</f>
        <v>4295.20104</v>
      </c>
      <c r="H29" s="16" t="n">
        <f aca="false">H27*H8</f>
        <v>4638.8171232</v>
      </c>
      <c r="I29" s="16" t="n">
        <f aca="false">I27*I8</f>
        <v>4963.534321824</v>
      </c>
      <c r="J29" s="16" t="n">
        <f aca="false">J27*J8</f>
        <v>5310.98172435168</v>
      </c>
      <c r="K29" s="16" t="n">
        <f aca="false">K27*K8</f>
        <v>5629.64062781278</v>
      </c>
    </row>
    <row r="30" customFormat="false" ht="15" hidden="false" customHeight="false" outlineLevel="0" collapsed="false">
      <c r="A30" s="10" t="s">
        <v>71</v>
      </c>
      <c r="B30" s="20" t="n">
        <f aca="false">Inputs!B18</f>
        <v>551.75</v>
      </c>
      <c r="C30" s="20" t="n">
        <f aca="false">Inputs!C18</f>
        <v>301.67</v>
      </c>
      <c r="D30" s="20" t="n">
        <f aca="false">Inputs!D18</f>
        <v>792.76</v>
      </c>
      <c r="E30" s="20" t="n">
        <f aca="false">Inputs!E18</f>
        <v>418.08</v>
      </c>
      <c r="F30" s="20" t="n">
        <f aca="false">Inputs!F18</f>
        <v>205.83</v>
      </c>
      <c r="G30" s="19" t="n">
        <f aca="false">G27*G9</f>
        <v>223.020054</v>
      </c>
      <c r="H30" s="19" t="n">
        <f aca="false">H27*H9</f>
        <v>240.86165832</v>
      </c>
      <c r="I30" s="19" t="n">
        <f aca="false">I27*I9</f>
        <v>257.7219744024</v>
      </c>
      <c r="J30" s="19" t="n">
        <f aca="false">J27*J9</f>
        <v>275.762512610568</v>
      </c>
      <c r="K30" s="19" t="n">
        <f aca="false">K27*K9</f>
        <v>292.308263367202</v>
      </c>
    </row>
    <row r="31" customFormat="false" ht="15" hidden="false" customHeight="false" outlineLevel="0" collapsed="false">
      <c r="A31" s="10" t="s">
        <v>229</v>
      </c>
      <c r="B31" s="20" t="n">
        <f aca="false">Inputs!B19</f>
        <v>1890.62</v>
      </c>
      <c r="C31" s="20" t="n">
        <f aca="false">Inputs!C19</f>
        <v>1514.63</v>
      </c>
      <c r="D31" s="20" t="n">
        <f aca="false">Inputs!D19</f>
        <v>1863.32</v>
      </c>
      <c r="E31" s="20" t="n">
        <f aca="false">Inputs!E19</f>
        <v>1791.94</v>
      </c>
      <c r="F31" s="20" t="n">
        <f aca="false">Inputs!F19</f>
        <v>1755.15</v>
      </c>
      <c r="G31" s="19" t="n">
        <f aca="false">G11*AVERAGE(F43,G43)</f>
        <v>1670.76242</v>
      </c>
      <c r="H31" s="19" t="n">
        <f aca="false">H11*AVERAGE(G43,H43)</f>
        <v>1569.9084914</v>
      </c>
      <c r="I31" s="19" t="n">
        <f aca="false">I11*AVERAGE(H43,I43)</f>
        <v>1475.766141174</v>
      </c>
      <c r="J31" s="19" t="n">
        <f aca="false">J11*AVERAGE(I43,J43)</f>
        <v>1390.09660246834</v>
      </c>
      <c r="K31" s="19" t="n">
        <f aca="false">K11*AVERAGE(J43,K43)</f>
        <v>1312.13732224619</v>
      </c>
      <c r="L31" s="2" t="s">
        <v>230</v>
      </c>
    </row>
    <row r="32" customFormat="false" ht="15" hidden="false" customHeight="false" outlineLevel="0" collapsed="false">
      <c r="A32" s="10" t="s">
        <v>231</v>
      </c>
      <c r="B32" s="20" t="n">
        <f aca="false">Inputs!B20</f>
        <v>0</v>
      </c>
      <c r="C32" s="20" t="n">
        <f aca="false">Inputs!C20</f>
        <v>0</v>
      </c>
      <c r="D32" s="20" t="n">
        <f aca="false">Inputs!D20</f>
        <v>0</v>
      </c>
      <c r="E32" s="20" t="n">
        <f aca="false">Inputs!E20</f>
        <v>5804.13</v>
      </c>
      <c r="F32" s="20" t="n">
        <f aca="false">Inputs!F20</f>
        <v>-42.65</v>
      </c>
      <c r="G32" s="15" t="n">
        <v>0</v>
      </c>
      <c r="H32" s="15" t="n">
        <v>0</v>
      </c>
      <c r="I32" s="15" t="n">
        <v>0</v>
      </c>
      <c r="J32" s="15" t="n">
        <v>0</v>
      </c>
      <c r="K32" s="15" t="n">
        <v>0</v>
      </c>
      <c r="L32" s="2" t="s">
        <v>232</v>
      </c>
    </row>
    <row r="33" customFormat="false" ht="15" hidden="false" customHeight="false" outlineLevel="0" collapsed="false">
      <c r="A33" s="10" t="s">
        <v>75</v>
      </c>
      <c r="B33" s="20" t="n">
        <f aca="false">Inputs!B21</f>
        <v>682.77</v>
      </c>
      <c r="C33" s="20" t="n">
        <f aca="false">Inputs!C21</f>
        <v>832.12</v>
      </c>
      <c r="D33" s="20" t="n">
        <f aca="false">Inputs!D21</f>
        <v>994.95</v>
      </c>
      <c r="E33" s="20" t="n">
        <f aca="false">Inputs!E21</f>
        <v>1037.63</v>
      </c>
      <c r="F33" s="20" t="n">
        <f aca="false">Inputs!F21</f>
        <v>1142.04</v>
      </c>
      <c r="G33" s="19" t="n">
        <f aca="false">G10*(F51+F52)</f>
        <v>1099.3954</v>
      </c>
      <c r="H33" s="19" t="n">
        <f aca="false">H10*(G51+G52)</f>
        <v>1084.7032116</v>
      </c>
      <c r="I33" s="19" t="n">
        <f aca="false">I10*(H51+H52)</f>
        <v>1070.6868638664</v>
      </c>
      <c r="J33" s="19" t="n">
        <f aca="false">J10*(I51+I52)</f>
        <v>1057.31526812855</v>
      </c>
      <c r="K33" s="19" t="n">
        <f aca="false">K10*(J51+J52)</f>
        <v>1044.55876579463</v>
      </c>
    </row>
    <row r="34" customFormat="false" ht="15" hidden="false" customHeight="false" outlineLevel="0" collapsed="false">
      <c r="A34" s="5" t="s">
        <v>76</v>
      </c>
      <c r="B34" s="16" t="n">
        <f aca="false">B29+B30-B31+B32-B33</f>
        <v>775.86</v>
      </c>
      <c r="C34" s="16" t="n">
        <f aca="false">C29+C30-C31+C32-C33</f>
        <v>1183.95</v>
      </c>
      <c r="D34" s="16" t="n">
        <f aca="false">D29+D30-D31+D32-D33</f>
        <v>1266.28</v>
      </c>
      <c r="E34" s="16" t="n">
        <f aca="false">E29+E30-E31+E32-E33</f>
        <v>6998.49</v>
      </c>
      <c r="F34" s="16" t="n">
        <f aca="false">F29+F30-F31+F32-F33</f>
        <v>1247.81</v>
      </c>
      <c r="G34" s="16" t="n">
        <f aca="false">G29+G30-G31+G32-G33</f>
        <v>1748.063274</v>
      </c>
      <c r="H34" s="16" t="n">
        <f aca="false">H29+H30-H31+H32-H33</f>
        <v>2225.06707852</v>
      </c>
      <c r="I34" s="16" t="n">
        <f aca="false">I29+I30-I31+I32-I33</f>
        <v>2674.803291186</v>
      </c>
      <c r="J34" s="16" t="n">
        <f aca="false">J29+J30-J31+J32-J33</f>
        <v>3139.33236636536</v>
      </c>
      <c r="K34" s="16" t="n">
        <f aca="false">K29+K30-K31+K32-K33</f>
        <v>3565.25280313916</v>
      </c>
    </row>
    <row r="35" customFormat="false" ht="15" hidden="false" customHeight="false" outlineLevel="0" collapsed="false">
      <c r="A35" s="10" t="s">
        <v>233</v>
      </c>
      <c r="B35" s="20" t="n">
        <f aca="false">Inputs!B23</f>
        <v>188.23</v>
      </c>
      <c r="C35" s="20" t="n">
        <f aca="false">Inputs!C23</f>
        <v>356.94</v>
      </c>
      <c r="D35" s="20" t="n">
        <f aca="false">Inputs!D23</f>
        <v>345.62</v>
      </c>
      <c r="E35" s="20" t="n">
        <f aca="false">Inputs!E23</f>
        <v>380.71</v>
      </c>
      <c r="F35" s="20" t="n">
        <f aca="false">Inputs!F23</f>
        <v>397.46</v>
      </c>
      <c r="G35" s="19" t="n">
        <f aca="false">MAX(G34,0)*G12</f>
        <v>524.4189822</v>
      </c>
      <c r="H35" s="19" t="n">
        <f aca="false">MAX(H34,0)*H12</f>
        <v>667.520123556</v>
      </c>
      <c r="I35" s="19" t="n">
        <f aca="false">MAX(I34,0)*I12</f>
        <v>802.4409873558</v>
      </c>
      <c r="J35" s="19" t="n">
        <f aca="false">MAX(J34,0)*J12</f>
        <v>941.799709909609</v>
      </c>
      <c r="K35" s="19" t="n">
        <f aca="false">MAX(K34,0)*K12</f>
        <v>1069.57584094175</v>
      </c>
    </row>
    <row r="36" customFormat="false" ht="15" hidden="false" customHeight="false" outlineLevel="0" collapsed="false">
      <c r="A36" s="5" t="s">
        <v>138</v>
      </c>
      <c r="B36" s="16" t="n">
        <f aca="false">B34-B35</f>
        <v>587.63</v>
      </c>
      <c r="C36" s="16" t="n">
        <f aca="false">C34-C35</f>
        <v>827.01</v>
      </c>
      <c r="D36" s="16" t="n">
        <f aca="false">D34-D35</f>
        <v>920.66</v>
      </c>
      <c r="E36" s="16" t="n">
        <f aca="false">E34-E35</f>
        <v>6617.78</v>
      </c>
      <c r="F36" s="16" t="n">
        <f aca="false">F34-F35</f>
        <v>850.35</v>
      </c>
      <c r="G36" s="16" t="n">
        <f aca="false">G34-G35</f>
        <v>1223.6442918</v>
      </c>
      <c r="H36" s="16" t="n">
        <f aca="false">H34-H35</f>
        <v>1557.546954964</v>
      </c>
      <c r="I36" s="16" t="n">
        <f aca="false">I34-I35</f>
        <v>1872.3623038302</v>
      </c>
      <c r="J36" s="16" t="n">
        <f aca="false">J34-J35</f>
        <v>2197.53265645575</v>
      </c>
      <c r="K36" s="16" t="n">
        <f aca="false">K34-K35</f>
        <v>2495.67696219741</v>
      </c>
    </row>
    <row r="38" customFormat="false" ht="15" hidden="false" customHeight="false" outlineLevel="0" collapsed="false">
      <c r="A38" s="3" t="s">
        <v>234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customFormat="false" ht="15" hidden="false" customHeight="false" outlineLevel="0" collapsed="false">
      <c r="A39" s="10" t="s">
        <v>235</v>
      </c>
      <c r="G39" s="19" t="n">
        <f aca="false">F59+F61</f>
        <v>19490.96</v>
      </c>
      <c r="H39" s="19" t="n">
        <f aca="false">G59+G61</f>
        <v>18291.78</v>
      </c>
      <c r="I39" s="19" t="n">
        <f aca="false">H59+H61</f>
        <v>17145.5198</v>
      </c>
      <c r="J39" s="19" t="n">
        <f aca="false">I59+I61</f>
        <v>16102.423018</v>
      </c>
      <c r="K39" s="19" t="n">
        <f aca="false">J59+J61</f>
        <v>15153.20494638</v>
      </c>
    </row>
    <row r="40" customFormat="false" ht="15" hidden="false" customHeight="false" outlineLevel="0" collapsed="false">
      <c r="A40" s="10" t="s">
        <v>236</v>
      </c>
      <c r="G40" s="19" t="n">
        <f aca="false">F59</f>
        <v>1699.18</v>
      </c>
      <c r="H40" s="19" t="n">
        <f aca="false">G59</f>
        <v>1646.2602</v>
      </c>
      <c r="I40" s="19" t="n">
        <f aca="false">H59</f>
        <v>1543.096782</v>
      </c>
      <c r="J40" s="19" t="n">
        <f aca="false">I59</f>
        <v>1449.21807162</v>
      </c>
      <c r="K40" s="19" t="n">
        <f aca="false">J59</f>
        <v>1363.7884451742</v>
      </c>
    </row>
    <row r="41" customFormat="false" ht="15" hidden="false" customHeight="false" outlineLevel="0" collapsed="false">
      <c r="A41" s="10" t="s">
        <v>237</v>
      </c>
      <c r="G41" s="19" t="n">
        <f aca="false">G16</f>
        <v>500</v>
      </c>
      <c r="H41" s="19" t="n">
        <f aca="false">H16</f>
        <v>500</v>
      </c>
      <c r="I41" s="19" t="n">
        <f aca="false">I16</f>
        <v>500</v>
      </c>
      <c r="J41" s="19" t="n">
        <f aca="false">J16</f>
        <v>500</v>
      </c>
      <c r="K41" s="19" t="n">
        <f aca="false">K16</f>
        <v>500</v>
      </c>
    </row>
    <row r="42" customFormat="false" ht="15" hidden="false" customHeight="false" outlineLevel="0" collapsed="false">
      <c r="A42" s="5" t="s">
        <v>238</v>
      </c>
      <c r="G42" s="16" t="n">
        <f aca="false">G39-G40+G41</f>
        <v>18291.78</v>
      </c>
      <c r="H42" s="16" t="n">
        <f aca="false">H39-H40+H41</f>
        <v>17145.5198</v>
      </c>
      <c r="I42" s="16" t="n">
        <f aca="false">I39-I40+I41</f>
        <v>16102.423018</v>
      </c>
      <c r="J42" s="16" t="n">
        <f aca="false">J39-J40+J41</f>
        <v>15153.20494638</v>
      </c>
      <c r="K42" s="16" t="n">
        <f aca="false">K39-K40+K41</f>
        <v>14289.4165012058</v>
      </c>
    </row>
    <row r="43" customFormat="false" ht="15" hidden="false" customHeight="false" outlineLevel="0" collapsed="false">
      <c r="A43" s="5" t="s">
        <v>239</v>
      </c>
      <c r="B43" s="18" t="n">
        <f aca="false">B58+B59+B61</f>
        <v>16703</v>
      </c>
      <c r="C43" s="18" t="n">
        <f aca="false">C58+C59+C61</f>
        <v>16748.21</v>
      </c>
      <c r="D43" s="18" t="n">
        <f aca="false">D58+D59+D61</f>
        <v>18653.39</v>
      </c>
      <c r="E43" s="18" t="n">
        <f aca="false">E58+E59+E61</f>
        <v>20599.3</v>
      </c>
      <c r="F43" s="18" t="n">
        <f aca="false">F58+F59+F61</f>
        <v>20027.06</v>
      </c>
      <c r="G43" s="18" t="n">
        <f aca="false">G58+G59+G61</f>
        <v>18827.88</v>
      </c>
      <c r="H43" s="18" t="n">
        <f aca="false">H58+H59+H61</f>
        <v>17681.6198</v>
      </c>
      <c r="I43" s="18" t="n">
        <f aca="false">I58+I59+I61</f>
        <v>16638.523018</v>
      </c>
      <c r="J43" s="18" t="n">
        <f aca="false">J58+J59+J61</f>
        <v>15689.30494638</v>
      </c>
      <c r="K43" s="18" t="n">
        <f aca="false">K58+K59+K61</f>
        <v>14825.5165012058</v>
      </c>
    </row>
    <row r="45" customFormat="false" ht="15" hidden="false" customHeight="false" outlineLevel="0" collapsed="false">
      <c r="A45" s="3" t="s">
        <v>240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5" hidden="false" customHeight="false" outlineLevel="0" collapsed="false">
      <c r="A46" s="10" t="s">
        <v>241</v>
      </c>
      <c r="B46" s="20" t="n">
        <f aca="false">Inputs!B29+Inputs!B30</f>
        <v>516.48</v>
      </c>
      <c r="C46" s="20" t="n">
        <f aca="false">Inputs!C29+Inputs!C30</f>
        <v>496.3</v>
      </c>
      <c r="D46" s="20" t="n">
        <f aca="false">Inputs!D29+Inputs!D30</f>
        <v>497.7</v>
      </c>
      <c r="E46" s="20" t="n">
        <f aca="false">Inputs!E29+Inputs!E30</f>
        <v>1876.22</v>
      </c>
      <c r="F46" s="20" t="n">
        <f aca="false">Inputs!F29+Inputs!F30</f>
        <v>527.5</v>
      </c>
      <c r="G46" s="19" t="n">
        <f aca="false">F46+G84</f>
        <v>480.534502895754</v>
      </c>
      <c r="H46" s="19" t="n">
        <f aca="false">G46+H84</f>
        <v>737.519742604415</v>
      </c>
      <c r="I46" s="19" t="n">
        <f aca="false">H46+I84</f>
        <v>1363.64059671434</v>
      </c>
      <c r="J46" s="19" t="n">
        <f aca="false">I46+J84</f>
        <v>2331.75496217727</v>
      </c>
      <c r="K46" s="19" t="n">
        <f aca="false">J46+K84</f>
        <v>3644.8470604381</v>
      </c>
    </row>
    <row r="47" customFormat="false" ht="15" hidden="false" customHeight="false" outlineLevel="0" collapsed="false">
      <c r="A47" s="10" t="s">
        <v>85</v>
      </c>
      <c r="B47" s="20" t="n">
        <f aca="false">Inputs!B31</f>
        <v>1512.9</v>
      </c>
      <c r="C47" s="20" t="n">
        <f aca="false">Inputs!C31</f>
        <v>2300.1</v>
      </c>
      <c r="D47" s="20" t="n">
        <f aca="false">Inputs!D31</f>
        <v>1317.6</v>
      </c>
      <c r="E47" s="20" t="n">
        <f aca="false">Inputs!E31</f>
        <v>994.2</v>
      </c>
      <c r="F47" s="20" t="n">
        <f aca="false">Inputs!F31</f>
        <v>1075.5</v>
      </c>
      <c r="G47" s="19" t="n">
        <f aca="false">G27*G20/Inputs!$B$5</f>
        <v>1154.13726575342</v>
      </c>
      <c r="H47" s="19" t="n">
        <f aca="false">H27*H20/Inputs!$B$5</f>
        <v>1246.4682470137</v>
      </c>
      <c r="I47" s="19" t="n">
        <f aca="false">I27*I20/Inputs!$B$5</f>
        <v>1333.72102430466</v>
      </c>
      <c r="J47" s="19" t="n">
        <f aca="false">J27*J20/Inputs!$B$5</f>
        <v>1427.08149600598</v>
      </c>
      <c r="K47" s="19" t="n">
        <f aca="false">K27*K20/Inputs!$B$5</f>
        <v>1512.70638576634</v>
      </c>
    </row>
    <row r="48" customFormat="false" ht="15" hidden="false" customHeight="false" outlineLevel="0" collapsed="false">
      <c r="A48" s="10" t="s">
        <v>87</v>
      </c>
      <c r="B48" s="20" t="n">
        <f aca="false">Inputs!B33</f>
        <v>317.5</v>
      </c>
      <c r="C48" s="20" t="n">
        <f aca="false">Inputs!C33</f>
        <v>299</v>
      </c>
      <c r="D48" s="20" t="n">
        <f aca="false">Inputs!D33</f>
        <v>293.1</v>
      </c>
      <c r="E48" s="20" t="n">
        <f aca="false">Inputs!E33</f>
        <v>338.6</v>
      </c>
      <c r="F48" s="20" t="n">
        <f aca="false">Inputs!F33</f>
        <v>367</v>
      </c>
      <c r="G48" s="19" t="n">
        <f aca="false">G28*G21/Inputs!$B$5</f>
        <v>396.480096</v>
      </c>
      <c r="H48" s="19" t="n">
        <f aca="false">H28*H21/Inputs!$B$5</f>
        <v>428.19850368</v>
      </c>
      <c r="I48" s="19" t="n">
        <f aca="false">I28*I21/Inputs!$B$5</f>
        <v>458.1723989376</v>
      </c>
      <c r="J48" s="19" t="n">
        <f aca="false">J28*J21/Inputs!$B$5</f>
        <v>490.244466863232</v>
      </c>
      <c r="K48" s="19" t="n">
        <f aca="false">K28*K21/Inputs!$B$5</f>
        <v>519.659134875026</v>
      </c>
    </row>
    <row r="49" customFormat="false" ht="15" hidden="false" customHeight="false" outlineLevel="0" collapsed="false">
      <c r="A49" s="10" t="s">
        <v>242</v>
      </c>
      <c r="B49" s="20" t="n">
        <f aca="false">Inputs!B32+Inputs!B34+Inputs!B35</f>
        <v>2780.62</v>
      </c>
      <c r="C49" s="20" t="n">
        <f aca="false">Inputs!C32+Inputs!C34+Inputs!C35</f>
        <v>3869.7</v>
      </c>
      <c r="D49" s="20" t="n">
        <f aca="false">Inputs!D32+Inputs!D34+Inputs!D35</f>
        <v>2731</v>
      </c>
      <c r="E49" s="20" t="n">
        <f aca="false">Inputs!E32+Inputs!E34+Inputs!E35</f>
        <v>2699.68</v>
      </c>
      <c r="F49" s="20" t="n">
        <f aca="false">Inputs!F32+Inputs!F34+Inputs!F35</f>
        <v>2711.7</v>
      </c>
      <c r="G49" s="19" t="n">
        <f aca="false">G27*G23</f>
        <v>2932.30071</v>
      </c>
      <c r="H49" s="19" t="n">
        <f aca="false">H27*H23</f>
        <v>3166.8847668</v>
      </c>
      <c r="I49" s="19" t="n">
        <f aca="false">I27*I23</f>
        <v>3388.566700476</v>
      </c>
      <c r="J49" s="19" t="n">
        <f aca="false">J27*J23</f>
        <v>3625.76636950932</v>
      </c>
      <c r="K49" s="19" t="n">
        <f aca="false">K27*K23</f>
        <v>3843.31235167988</v>
      </c>
    </row>
    <row r="50" customFormat="false" ht="15" hidden="false" customHeight="false" outlineLevel="0" collapsed="false">
      <c r="A50" s="5" t="s">
        <v>91</v>
      </c>
      <c r="B50" s="16" t="n">
        <f aca="false">B46+B47+B48+B49</f>
        <v>5127.5</v>
      </c>
      <c r="C50" s="16" t="n">
        <f aca="false">C46+C47+C48+C49</f>
        <v>6965.1</v>
      </c>
      <c r="D50" s="16" t="n">
        <f aca="false">D46+D47+D48+D49</f>
        <v>4839.4</v>
      </c>
      <c r="E50" s="16" t="n">
        <f aca="false">E46+E47+E48+E49</f>
        <v>5908.7</v>
      </c>
      <c r="F50" s="16" t="n">
        <f aca="false">F46+F47+F48+F49</f>
        <v>4681.7</v>
      </c>
      <c r="G50" s="16" t="n">
        <f aca="false">G46+G47+G48+G49</f>
        <v>4963.45257464918</v>
      </c>
      <c r="H50" s="16" t="n">
        <f aca="false">H46+H47+H48+H49</f>
        <v>5579.07126009811</v>
      </c>
      <c r="I50" s="16" t="n">
        <f aca="false">I46+I47+I48+I49</f>
        <v>6544.10072043259</v>
      </c>
      <c r="J50" s="16" t="n">
        <f aca="false">J46+J47+J48+J49</f>
        <v>7874.84729455581</v>
      </c>
      <c r="K50" s="16" t="n">
        <f aca="false">K46+K47+K48+K49</f>
        <v>9520.52493275935</v>
      </c>
    </row>
    <row r="51" customFormat="false" ht="15" hidden="false" customHeight="false" outlineLevel="0" collapsed="false">
      <c r="A51" s="10" t="s">
        <v>243</v>
      </c>
      <c r="B51" s="20" t="n">
        <f aca="false">Inputs!B37</f>
        <v>984.2</v>
      </c>
      <c r="C51" s="20" t="n">
        <f aca="false">Inputs!C37</f>
        <v>950</v>
      </c>
      <c r="D51" s="20" t="n">
        <f aca="false">Inputs!D37</f>
        <v>922</v>
      </c>
      <c r="E51" s="20" t="n">
        <f aca="false">Inputs!E37</f>
        <v>986.3</v>
      </c>
      <c r="F51" s="20" t="n">
        <f aca="false">Inputs!F37</f>
        <v>946.1</v>
      </c>
      <c r="G51" s="19" t="n">
        <f aca="false">F51</f>
        <v>946.1</v>
      </c>
      <c r="H51" s="19" t="n">
        <f aca="false">G51</f>
        <v>946.1</v>
      </c>
      <c r="I51" s="19" t="n">
        <f aca="false">H51</f>
        <v>946.1</v>
      </c>
      <c r="J51" s="19" t="n">
        <f aca="false">I51</f>
        <v>946.1</v>
      </c>
      <c r="K51" s="19" t="n">
        <f aca="false">J51</f>
        <v>946.1</v>
      </c>
    </row>
    <row r="52" customFormat="false" ht="15" hidden="false" customHeight="false" outlineLevel="0" collapsed="false">
      <c r="A52" s="10" t="s">
        <v>244</v>
      </c>
      <c r="B52" s="20" t="n">
        <f aca="false">Inputs!B38</f>
        <v>26349.4</v>
      </c>
      <c r="C52" s="20" t="n">
        <f aca="false">Inputs!C38</f>
        <v>25537.6</v>
      </c>
      <c r="D52" s="20" t="n">
        <f aca="false">Inputs!D38</f>
        <v>24599.4</v>
      </c>
      <c r="E52" s="20" t="n">
        <f aca="false">Inputs!E38</f>
        <v>23630.4</v>
      </c>
      <c r="F52" s="20" t="n">
        <f aca="false">Inputs!F38</f>
        <v>22953.8</v>
      </c>
      <c r="G52" s="19" t="n">
        <f aca="false">F52+G14-(G33-G13)</f>
        <v>22634.4046</v>
      </c>
      <c r="H52" s="19" t="n">
        <f aca="false">G52+H14-(H33-H13)</f>
        <v>22329.7013884</v>
      </c>
      <c r="I52" s="19" t="n">
        <f aca="false">H52+I14-(I33-I13)</f>
        <v>22039.0145245336</v>
      </c>
      <c r="J52" s="19" t="n">
        <f aca="false">I52+J14-(J33-J13)</f>
        <v>21761.6992564051</v>
      </c>
      <c r="K52" s="19" t="n">
        <f aca="false">J52+K14-(K33-K13)</f>
        <v>21497.1404906104</v>
      </c>
    </row>
    <row r="53" customFormat="false" ht="15" hidden="false" customHeight="false" outlineLevel="0" collapsed="false">
      <c r="A53" s="10" t="s">
        <v>95</v>
      </c>
      <c r="B53" s="20" t="n">
        <f aca="false">Inputs!B39</f>
        <v>4440.7</v>
      </c>
      <c r="C53" s="20" t="n">
        <f aca="false">Inputs!C39</f>
        <v>4945.2</v>
      </c>
      <c r="D53" s="20" t="n">
        <f aca="false">Inputs!D39</f>
        <v>9377</v>
      </c>
      <c r="E53" s="20" t="n">
        <f aca="false">Inputs!E39</f>
        <v>17080.6</v>
      </c>
      <c r="F53" s="20" t="n">
        <f aca="false">Inputs!F39</f>
        <v>19147</v>
      </c>
      <c r="G53" s="19" t="n">
        <f aca="false">F53+G15</f>
        <v>19147</v>
      </c>
      <c r="H53" s="19" t="n">
        <f aca="false">G53+H15</f>
        <v>19147</v>
      </c>
      <c r="I53" s="19" t="n">
        <f aca="false">H53+I15</f>
        <v>19147</v>
      </c>
      <c r="J53" s="19" t="n">
        <f aca="false">I53+J15</f>
        <v>19147</v>
      </c>
      <c r="K53" s="19" t="n">
        <f aca="false">J53+K15</f>
        <v>19147</v>
      </c>
    </row>
    <row r="54" customFormat="false" ht="15" hidden="false" customHeight="false" outlineLevel="0" collapsed="false">
      <c r="A54" s="10" t="s">
        <v>245</v>
      </c>
      <c r="B54" s="20" t="n">
        <f aca="false">Inputs!B40</f>
        <v>5664.8</v>
      </c>
      <c r="C54" s="20" t="n">
        <f aca="false">Inputs!C40</f>
        <v>4368.3</v>
      </c>
      <c r="D54" s="20" t="n">
        <f aca="false">Inputs!D40</f>
        <v>5182.5</v>
      </c>
      <c r="E54" s="20" t="n">
        <f aca="false">Inputs!E40</f>
        <v>6290</v>
      </c>
      <c r="F54" s="20" t="n">
        <f aca="false">Inputs!F40</f>
        <v>6325</v>
      </c>
      <c r="G54" s="19" t="n">
        <f aca="false">F54</f>
        <v>6325</v>
      </c>
      <c r="H54" s="19" t="n">
        <f aca="false">G54</f>
        <v>6325</v>
      </c>
      <c r="I54" s="19" t="n">
        <f aca="false">H54</f>
        <v>6325</v>
      </c>
      <c r="J54" s="19" t="n">
        <f aca="false">I54</f>
        <v>6325</v>
      </c>
      <c r="K54" s="19" t="n">
        <f aca="false">J54</f>
        <v>6325</v>
      </c>
    </row>
    <row r="55" customFormat="false" ht="15" hidden="false" customHeight="false" outlineLevel="0" collapsed="false">
      <c r="A55" s="5" t="s">
        <v>98</v>
      </c>
      <c r="B55" s="16" t="n">
        <f aca="false">B50+B51+B52+B53+B54</f>
        <v>42566.6</v>
      </c>
      <c r="C55" s="16" t="n">
        <f aca="false">C50+C51+C52+C53+C54</f>
        <v>42766.2</v>
      </c>
      <c r="D55" s="16" t="n">
        <f aca="false">D50+D51+D52+D53+D54</f>
        <v>44920.3</v>
      </c>
      <c r="E55" s="16" t="n">
        <f aca="false">E50+E51+E52+E53+E54</f>
        <v>53896</v>
      </c>
      <c r="F55" s="16" t="n">
        <f aca="false">F50+F51+F52+F53+F54</f>
        <v>54053.6</v>
      </c>
      <c r="G55" s="16" t="n">
        <f aca="false">G50+G51+G52+G53+G54</f>
        <v>54015.9571746492</v>
      </c>
      <c r="H55" s="16" t="n">
        <f aca="false">H50+H51+H52+H53+H54</f>
        <v>54326.8726484981</v>
      </c>
      <c r="I55" s="16" t="n">
        <f aca="false">I50+I51+I52+I53+I54</f>
        <v>55001.2152449662</v>
      </c>
      <c r="J55" s="16" t="n">
        <f aca="false">J50+J51+J52+J53+J54</f>
        <v>56054.6465509609</v>
      </c>
      <c r="K55" s="16" t="n">
        <f aca="false">K50+K51+K52+K53+K54</f>
        <v>57435.7654233698</v>
      </c>
    </row>
    <row r="56" customFormat="false" ht="15" hidden="false" customHeight="false" outlineLevel="0" collapsed="false">
      <c r="A56" s="10" t="s">
        <v>100</v>
      </c>
      <c r="B56" s="20" t="n">
        <f aca="false">Inputs!B44</f>
        <v>381.7</v>
      </c>
      <c r="C56" s="20" t="n">
        <f aca="false">Inputs!C44</f>
        <v>502.2</v>
      </c>
      <c r="D56" s="20" t="n">
        <f aca="false">Inputs!D44</f>
        <v>675.7</v>
      </c>
      <c r="E56" s="20" t="n">
        <f aca="false">Inputs!E44</f>
        <v>521.8</v>
      </c>
      <c r="F56" s="20" t="n">
        <f aca="false">Inputs!F44</f>
        <v>256.8</v>
      </c>
      <c r="G56" s="19" t="n">
        <f aca="false">G28*G22/Inputs!$B$5</f>
        <v>278.079190619178</v>
      </c>
      <c r="H56" s="19" t="n">
        <f aca="false">H28*H22/Inputs!$B$5</f>
        <v>300.325525868712</v>
      </c>
      <c r="I56" s="19" t="n">
        <f aca="false">I28*I22/Inputs!$B$5</f>
        <v>321.348312679522</v>
      </c>
      <c r="J56" s="19" t="n">
        <f aca="false">J28*J22/Inputs!$B$5</f>
        <v>343.842694567089</v>
      </c>
      <c r="K56" s="19" t="n">
        <f aca="false">K28*K22/Inputs!$B$5</f>
        <v>364.473256241114</v>
      </c>
    </row>
    <row r="57" customFormat="false" ht="15" hidden="false" customHeight="false" outlineLevel="0" collapsed="false">
      <c r="A57" s="10" t="s">
        <v>246</v>
      </c>
      <c r="B57" s="20" t="n">
        <f aca="false">Inputs!B45+Inputs!B48</f>
        <v>1275.91</v>
      </c>
      <c r="C57" s="20" t="n">
        <f aca="false">Inputs!C45+Inputs!C48</f>
        <v>1306.34</v>
      </c>
      <c r="D57" s="20" t="n">
        <f aca="false">Inputs!D45+Inputs!D48</f>
        <v>1434.51</v>
      </c>
      <c r="E57" s="20" t="n">
        <f aca="false">Inputs!E45+Inputs!E48</f>
        <v>1339.08</v>
      </c>
      <c r="F57" s="20" t="n">
        <f aca="false">Inputs!F45+Inputs!F48</f>
        <v>1287.52</v>
      </c>
      <c r="G57" s="19" t="n">
        <f aca="false">G27*G24</f>
        <v>1387.680336</v>
      </c>
      <c r="H57" s="19" t="n">
        <f aca="false">H27*H24</f>
        <v>1498.69476288</v>
      </c>
      <c r="I57" s="19" t="n">
        <f aca="false">I27*I24</f>
        <v>1603.6033962816</v>
      </c>
      <c r="J57" s="19" t="n">
        <f aca="false">J27*J24</f>
        <v>1715.85563402131</v>
      </c>
      <c r="K57" s="19" t="n">
        <f aca="false">K27*K24</f>
        <v>1818.80697206259</v>
      </c>
    </row>
    <row r="58" customFormat="false" ht="15" hidden="false" customHeight="false" outlineLevel="0" collapsed="false">
      <c r="A58" s="10" t="s">
        <v>102</v>
      </c>
      <c r="B58" s="20" t="n">
        <f aca="false">Inputs!B46</f>
        <v>583.3</v>
      </c>
      <c r="C58" s="20" t="n">
        <f aca="false">Inputs!C46</f>
        <v>1339.1</v>
      </c>
      <c r="D58" s="20" t="n">
        <f aca="false">Inputs!D46</f>
        <v>589.1</v>
      </c>
      <c r="E58" s="20" t="n">
        <f aca="false">Inputs!E46</f>
        <v>431.9</v>
      </c>
      <c r="F58" s="20" t="n">
        <f aca="false">Inputs!F46</f>
        <v>536.1</v>
      </c>
      <c r="G58" s="19" t="n">
        <f aca="false">F58+G17</f>
        <v>536.1</v>
      </c>
      <c r="H58" s="19" t="n">
        <f aca="false">G58+H17</f>
        <v>536.1</v>
      </c>
      <c r="I58" s="19" t="n">
        <f aca="false">H58+I17</f>
        <v>536.1</v>
      </c>
      <c r="J58" s="19" t="n">
        <f aca="false">I58+J17</f>
        <v>536.1</v>
      </c>
      <c r="K58" s="19" t="n">
        <f aca="false">J58+K17</f>
        <v>536.1</v>
      </c>
    </row>
    <row r="59" customFormat="false" ht="15" hidden="false" customHeight="false" outlineLevel="0" collapsed="false">
      <c r="A59" s="10" t="s">
        <v>247</v>
      </c>
      <c r="B59" s="20" t="n">
        <f aca="false">Inputs!B47</f>
        <v>636.49</v>
      </c>
      <c r="C59" s="20" t="n">
        <f aca="false">Inputs!C47</f>
        <v>1156.86</v>
      </c>
      <c r="D59" s="20" t="n">
        <f aca="false">Inputs!D47</f>
        <v>1209.99</v>
      </c>
      <c r="E59" s="20" t="n">
        <f aca="false">Inputs!E47</f>
        <v>1453.42</v>
      </c>
      <c r="F59" s="20" t="n">
        <f aca="false">Inputs!F47</f>
        <v>1699.18</v>
      </c>
      <c r="G59" s="19" t="n">
        <f aca="false">G42*G18</f>
        <v>1646.2602</v>
      </c>
      <c r="H59" s="19" t="n">
        <f aca="false">H42*H18</f>
        <v>1543.096782</v>
      </c>
      <c r="I59" s="19" t="n">
        <f aca="false">I42*I18</f>
        <v>1449.21807162</v>
      </c>
      <c r="J59" s="19" t="n">
        <f aca="false">J42*J18</f>
        <v>1363.7884451742</v>
      </c>
      <c r="K59" s="19" t="n">
        <f aca="false">K42*K18</f>
        <v>1286.04748510852</v>
      </c>
    </row>
    <row r="60" customFormat="false" ht="15" hidden="false" customHeight="false" outlineLevel="0" collapsed="false">
      <c r="A60" s="5" t="s">
        <v>107</v>
      </c>
      <c r="B60" s="16" t="n">
        <f aca="false">B56+B57+B58+B59</f>
        <v>2877.4</v>
      </c>
      <c r="C60" s="16" t="n">
        <f aca="false">C56+C57+C58+C59</f>
        <v>4304.5</v>
      </c>
      <c r="D60" s="16" t="n">
        <f aca="false">D56+D57+D58+D59</f>
        <v>3909.3</v>
      </c>
      <c r="E60" s="16" t="n">
        <f aca="false">E56+E57+E58+E59</f>
        <v>3746.2</v>
      </c>
      <c r="F60" s="16" t="n">
        <f aca="false">F56+F57+F58+F59</f>
        <v>3779.6</v>
      </c>
      <c r="G60" s="16" t="n">
        <f aca="false">G56+G57+G58+G59</f>
        <v>3848.11972661918</v>
      </c>
      <c r="H60" s="16" t="n">
        <f aca="false">H56+H57+H58+H59</f>
        <v>3878.21707074871</v>
      </c>
      <c r="I60" s="16" t="n">
        <f aca="false">I56+I57+I58+I59</f>
        <v>3910.26978058112</v>
      </c>
      <c r="J60" s="16" t="n">
        <f aca="false">J56+J57+J58+J59</f>
        <v>3959.5867737626</v>
      </c>
      <c r="K60" s="16" t="n">
        <f aca="false">K56+K57+K58+K59</f>
        <v>4005.42771341223</v>
      </c>
    </row>
    <row r="61" customFormat="false" ht="15" hidden="false" customHeight="false" outlineLevel="0" collapsed="false">
      <c r="A61" s="10" t="s">
        <v>248</v>
      </c>
      <c r="B61" s="20" t="n">
        <f aca="false">Inputs!B50</f>
        <v>15483.21</v>
      </c>
      <c r="C61" s="20" t="n">
        <f aca="false">Inputs!C50</f>
        <v>14252.25</v>
      </c>
      <c r="D61" s="20" t="n">
        <f aca="false">Inputs!D50</f>
        <v>16854.3</v>
      </c>
      <c r="E61" s="20" t="n">
        <f aca="false">Inputs!E50</f>
        <v>18713.98</v>
      </c>
      <c r="F61" s="20" t="n">
        <f aca="false">Inputs!F50</f>
        <v>17791.78</v>
      </c>
      <c r="G61" s="19" t="n">
        <f aca="false">G42-G59</f>
        <v>16645.5198</v>
      </c>
      <c r="H61" s="19" t="n">
        <f aca="false">H42-H59</f>
        <v>15602.423018</v>
      </c>
      <c r="I61" s="19" t="n">
        <f aca="false">I42-I59</f>
        <v>14653.20494638</v>
      </c>
      <c r="J61" s="19" t="n">
        <f aca="false">J42-J59</f>
        <v>13789.4165012058</v>
      </c>
      <c r="K61" s="19" t="n">
        <f aca="false">K42-K59</f>
        <v>13003.3690160973</v>
      </c>
    </row>
    <row r="62" customFormat="false" ht="15" hidden="false" customHeight="false" outlineLevel="0" collapsed="false">
      <c r="A62" s="10" t="s">
        <v>249</v>
      </c>
      <c r="B62" s="20" t="n">
        <f aca="false">Inputs!B51</f>
        <v>11640.39</v>
      </c>
      <c r="C62" s="20" t="n">
        <f aca="false">Inputs!C51</f>
        <v>10830.55</v>
      </c>
      <c r="D62" s="20" t="n">
        <f aca="false">Inputs!D51</f>
        <v>10412.2</v>
      </c>
      <c r="E62" s="20" t="n">
        <f aca="false">Inputs!E51</f>
        <v>11609.22</v>
      </c>
      <c r="F62" s="20" t="n">
        <f aca="false">Inputs!F51</f>
        <v>11533.42</v>
      </c>
      <c r="G62" s="19" t="n">
        <f aca="false">F62</f>
        <v>11533.42</v>
      </c>
      <c r="H62" s="19" t="n">
        <f aca="false">G62</f>
        <v>11533.42</v>
      </c>
      <c r="I62" s="19" t="n">
        <f aca="false">H62</f>
        <v>11533.42</v>
      </c>
      <c r="J62" s="19" t="n">
        <f aca="false">I62</f>
        <v>11533.42</v>
      </c>
      <c r="K62" s="19" t="n">
        <f aca="false">J62</f>
        <v>11533.42</v>
      </c>
    </row>
    <row r="63" customFormat="false" ht="15" hidden="false" customHeight="false" outlineLevel="0" collapsed="false">
      <c r="A63" s="5" t="s">
        <v>112</v>
      </c>
      <c r="B63" s="16" t="n">
        <f aca="false">B60+B61+B62</f>
        <v>30001</v>
      </c>
      <c r="C63" s="16" t="n">
        <f aca="false">C60+C61+C62</f>
        <v>29387.3</v>
      </c>
      <c r="D63" s="16" t="n">
        <f aca="false">D60+D61+D62</f>
        <v>31175.8</v>
      </c>
      <c r="E63" s="16" t="n">
        <f aca="false">E60+E61+E62</f>
        <v>34069.4</v>
      </c>
      <c r="F63" s="16" t="n">
        <f aca="false">F60+F61+F62</f>
        <v>33104.8</v>
      </c>
      <c r="G63" s="16" t="n">
        <f aca="false">G60+G61+G62</f>
        <v>32027.0595266192</v>
      </c>
      <c r="H63" s="16" t="n">
        <f aca="false">H60+H61+H62</f>
        <v>31014.0600887487</v>
      </c>
      <c r="I63" s="16" t="n">
        <f aca="false">I60+I61+I62</f>
        <v>30096.8947269611</v>
      </c>
      <c r="J63" s="16" t="n">
        <f aca="false">J60+J61+J62</f>
        <v>29282.4232749684</v>
      </c>
      <c r="K63" s="16" t="n">
        <f aca="false">K60+K61+K62</f>
        <v>28542.2167295095</v>
      </c>
    </row>
    <row r="64" customFormat="false" ht="15" hidden="false" customHeight="false" outlineLevel="0" collapsed="false">
      <c r="A64" s="5" t="s">
        <v>250</v>
      </c>
      <c r="B64" s="33" t="n">
        <f aca="false">Inputs!B55</f>
        <v>12565.6</v>
      </c>
      <c r="C64" s="33" t="n">
        <f aca="false">Inputs!C55</f>
        <v>13378.9</v>
      </c>
      <c r="D64" s="33" t="n">
        <f aca="false">Inputs!D55</f>
        <v>13744.5</v>
      </c>
      <c r="E64" s="33" t="n">
        <f aca="false">Inputs!E55</f>
        <v>19826.6</v>
      </c>
      <c r="F64" s="33" t="n">
        <f aca="false">Inputs!F55</f>
        <v>20948.8</v>
      </c>
      <c r="G64" s="18" t="n">
        <f aca="false">F64+G36+G83</f>
        <v>21988.89764803</v>
      </c>
      <c r="H64" s="18" t="n">
        <f aca="false">G64+H36+H83</f>
        <v>23312.8125597494</v>
      </c>
      <c r="I64" s="18" t="n">
        <f aca="false">H64+I36+I83</f>
        <v>24904.3205180051</v>
      </c>
      <c r="J64" s="18" t="n">
        <f aca="false">I64+J36+J83</f>
        <v>26772.2232759925</v>
      </c>
      <c r="K64" s="18" t="n">
        <f aca="false">J64+K36+K83</f>
        <v>28893.5486938603</v>
      </c>
    </row>
    <row r="65" customFormat="false" ht="15" hidden="false" customHeight="false" outlineLevel="0" collapsed="false">
      <c r="A65" s="5" t="s">
        <v>117</v>
      </c>
      <c r="B65" s="18" t="n">
        <f aca="false">B63+B64</f>
        <v>42566.6</v>
      </c>
      <c r="C65" s="18" t="n">
        <f aca="false">C63+C64</f>
        <v>42766.2</v>
      </c>
      <c r="D65" s="18" t="n">
        <f aca="false">D63+D64</f>
        <v>44920.3</v>
      </c>
      <c r="E65" s="18" t="n">
        <f aca="false">E63+E64</f>
        <v>53896</v>
      </c>
      <c r="F65" s="18" t="n">
        <f aca="false">F63+F64</f>
        <v>54053.6</v>
      </c>
      <c r="G65" s="18" t="n">
        <f aca="false">G63+G64</f>
        <v>54015.9571746492</v>
      </c>
      <c r="H65" s="18" t="n">
        <f aca="false">H63+H64</f>
        <v>54326.8726484981</v>
      </c>
      <c r="I65" s="18" t="n">
        <f aca="false">I63+I64</f>
        <v>55001.2152449662</v>
      </c>
      <c r="J65" s="18" t="n">
        <f aca="false">J63+J64</f>
        <v>56054.6465509609</v>
      </c>
      <c r="K65" s="18" t="n">
        <f aca="false">K63+K64</f>
        <v>57435.7654233698</v>
      </c>
    </row>
    <row r="66" customFormat="false" ht="15" hidden="false" customHeight="false" outlineLevel="0" collapsed="false">
      <c r="A66" s="10" t="s">
        <v>251</v>
      </c>
      <c r="B66" s="17" t="n">
        <f aca="false">B55-B65</f>
        <v>0</v>
      </c>
      <c r="C66" s="17" t="n">
        <f aca="false">C55-C65</f>
        <v>0</v>
      </c>
      <c r="D66" s="17" t="n">
        <f aca="false">D55-D65</f>
        <v>0</v>
      </c>
      <c r="E66" s="17" t="n">
        <f aca="false">E55-E65</f>
        <v>0</v>
      </c>
      <c r="F66" s="17" t="n">
        <f aca="false">F55-F65</f>
        <v>0</v>
      </c>
      <c r="G66" s="17" t="n">
        <f aca="false">G55-G65</f>
        <v>0</v>
      </c>
      <c r="H66" s="17" t="n">
        <f aca="false">H55-H65</f>
        <v>0</v>
      </c>
      <c r="I66" s="17" t="n">
        <f aca="false">I55-I65</f>
        <v>0</v>
      </c>
      <c r="J66" s="17" t="n">
        <f aca="false">J55-J65</f>
        <v>0</v>
      </c>
      <c r="K66" s="17" t="n">
        <f aca="false">K55-K65</f>
        <v>0</v>
      </c>
    </row>
    <row r="68" customFormat="false" ht="15" hidden="false" customHeight="false" outlineLevel="0" collapsed="false">
      <c r="A68" s="3" t="s">
        <v>252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5" hidden="false" customHeight="false" outlineLevel="0" collapsed="false">
      <c r="A69" s="10" t="s">
        <v>138</v>
      </c>
      <c r="G69" s="19" t="n">
        <f aca="false">G36</f>
        <v>1223.6442918</v>
      </c>
      <c r="H69" s="19" t="n">
        <f aca="false">H36</f>
        <v>1557.546954964</v>
      </c>
      <c r="I69" s="19" t="n">
        <f aca="false">I36</f>
        <v>1872.3623038302</v>
      </c>
      <c r="J69" s="19" t="n">
        <f aca="false">J36</f>
        <v>2197.53265645575</v>
      </c>
      <c r="K69" s="19" t="n">
        <f aca="false">K36</f>
        <v>2495.67696219741</v>
      </c>
    </row>
    <row r="70" customFormat="false" ht="15" hidden="false" customHeight="false" outlineLevel="0" collapsed="false">
      <c r="A70" s="10" t="s">
        <v>141</v>
      </c>
      <c r="G70" s="19" t="n">
        <f aca="false">G33</f>
        <v>1099.3954</v>
      </c>
      <c r="H70" s="19" t="n">
        <f aca="false">H33</f>
        <v>1084.7032116</v>
      </c>
      <c r="I70" s="19" t="n">
        <f aca="false">I33</f>
        <v>1070.6868638664</v>
      </c>
      <c r="J70" s="19" t="n">
        <f aca="false">J33</f>
        <v>1057.31526812855</v>
      </c>
      <c r="K70" s="19" t="n">
        <f aca="false">K33</f>
        <v>1044.55876579463</v>
      </c>
    </row>
    <row r="71" customFormat="false" ht="15" hidden="false" customHeight="false" outlineLevel="0" collapsed="false">
      <c r="A71" s="10" t="s">
        <v>253</v>
      </c>
      <c r="G71" s="19" t="n">
        <f aca="false">-(G47-F47)</f>
        <v>-78.6372657534248</v>
      </c>
      <c r="H71" s="19" t="n">
        <f aca="false">-(H47-G47)</f>
        <v>-92.3309812602738</v>
      </c>
      <c r="I71" s="19" t="n">
        <f aca="false">-(I47-H47)</f>
        <v>-87.2527772909591</v>
      </c>
      <c r="J71" s="19" t="n">
        <f aca="false">-(J47-I47)</f>
        <v>-93.3604717013261</v>
      </c>
      <c r="K71" s="19" t="n">
        <f aca="false">-(K47-J47)</f>
        <v>-85.6248897603591</v>
      </c>
    </row>
    <row r="72" customFormat="false" ht="15" hidden="false" customHeight="false" outlineLevel="0" collapsed="false">
      <c r="A72" s="10" t="s">
        <v>254</v>
      </c>
      <c r="G72" s="19" t="n">
        <f aca="false">-(G48-F48)</f>
        <v>-29.4800960000001</v>
      </c>
      <c r="H72" s="19" t="n">
        <f aca="false">-(H48-G48)</f>
        <v>-31.71840768</v>
      </c>
      <c r="I72" s="19" t="n">
        <f aca="false">-(I48-H48)</f>
        <v>-29.9738952576</v>
      </c>
      <c r="J72" s="19" t="n">
        <f aca="false">-(J48-I48)</f>
        <v>-32.072067925632</v>
      </c>
      <c r="K72" s="19" t="n">
        <f aca="false">-(K48-J48)</f>
        <v>-29.4146680117939</v>
      </c>
    </row>
    <row r="73" customFormat="false" ht="15" hidden="false" customHeight="false" outlineLevel="0" collapsed="false">
      <c r="A73" s="10" t="s">
        <v>255</v>
      </c>
      <c r="G73" s="19" t="n">
        <f aca="false">-(G49-F49)</f>
        <v>-220.60071</v>
      </c>
      <c r="H73" s="19" t="n">
        <f aca="false">-(H49-G49)</f>
        <v>-234.5840568</v>
      </c>
      <c r="I73" s="19" t="n">
        <f aca="false">-(I49-H49)</f>
        <v>-221.681933676</v>
      </c>
      <c r="J73" s="19" t="n">
        <f aca="false">-(J49-I49)</f>
        <v>-237.19966903332</v>
      </c>
      <c r="K73" s="19" t="n">
        <f aca="false">-(K49-J49)</f>
        <v>-217.545982170559</v>
      </c>
    </row>
    <row r="74" customFormat="false" ht="15" hidden="false" customHeight="false" outlineLevel="0" collapsed="false">
      <c r="A74" s="10" t="s">
        <v>256</v>
      </c>
      <c r="G74" s="19" t="n">
        <f aca="false">G56-F56</f>
        <v>21.2791906191781</v>
      </c>
      <c r="H74" s="19" t="n">
        <f aca="false">H56-G56</f>
        <v>22.2463352495343</v>
      </c>
      <c r="I74" s="19" t="n">
        <f aca="false">I56-H56</f>
        <v>21.0227868108098</v>
      </c>
      <c r="J74" s="19" t="n">
        <f aca="false">J56-I56</f>
        <v>22.4943818875666</v>
      </c>
      <c r="K74" s="19" t="n">
        <f aca="false">K56-J56</f>
        <v>20.6305616740254</v>
      </c>
    </row>
    <row r="75" customFormat="false" ht="15" hidden="false" customHeight="false" outlineLevel="0" collapsed="false">
      <c r="A75" s="10" t="s">
        <v>257</v>
      </c>
      <c r="G75" s="19" t="n">
        <f aca="false">G57-F57</f>
        <v>100.160336</v>
      </c>
      <c r="H75" s="19" t="n">
        <f aca="false">H57-G57</f>
        <v>111.01442688</v>
      </c>
      <c r="I75" s="19" t="n">
        <f aca="false">I57-H57</f>
        <v>104.9086334016</v>
      </c>
      <c r="J75" s="19" t="n">
        <f aca="false">J57-I57</f>
        <v>112.252237739712</v>
      </c>
      <c r="K75" s="19" t="n">
        <f aca="false">K57-J57</f>
        <v>102.951338041279</v>
      </c>
    </row>
    <row r="76" customFormat="false" ht="15" hidden="false" customHeight="false" outlineLevel="0" collapsed="false">
      <c r="A76" s="5" t="s">
        <v>258</v>
      </c>
      <c r="B76" s="34" t="n">
        <f aca="false">Inputs!B64</f>
        <v>364.1</v>
      </c>
      <c r="C76" s="34" t="n">
        <f aca="false">Inputs!C64</f>
        <v>1764.1</v>
      </c>
      <c r="D76" s="34" t="n">
        <f aca="false">Inputs!D64</f>
        <v>4053.8</v>
      </c>
      <c r="E76" s="34" t="n">
        <f aca="false">Inputs!E64</f>
        <v>1971.2</v>
      </c>
      <c r="F76" s="34" t="n">
        <f aca="false">Inputs!F64</f>
        <v>2098</v>
      </c>
      <c r="G76" s="16" t="n">
        <f aca="false">SUM(G69:G75)</f>
        <v>2115.76114666575</v>
      </c>
      <c r="H76" s="16" t="n">
        <f aca="false">SUM(H69:H75)</f>
        <v>2416.87748295326</v>
      </c>
      <c r="I76" s="16" t="n">
        <f aca="false">SUM(I69:I75)</f>
        <v>2730.07198168445</v>
      </c>
      <c r="J76" s="16" t="n">
        <f aca="false">SUM(J69:J75)</f>
        <v>3026.9623355513</v>
      </c>
      <c r="K76" s="16" t="n">
        <f aca="false">SUM(K69:K75)</f>
        <v>3331.23208776464</v>
      </c>
      <c r="L76" s="2" t="s">
        <v>259</v>
      </c>
    </row>
    <row r="77" customFormat="false" ht="15" hidden="false" customHeight="false" outlineLevel="0" collapsed="false">
      <c r="A77" s="10" t="s">
        <v>260</v>
      </c>
      <c r="G77" s="19" t="n">
        <f aca="false">-G13</f>
        <v>-80</v>
      </c>
      <c r="H77" s="19" t="n">
        <f aca="false">-H13</f>
        <v>-80</v>
      </c>
      <c r="I77" s="19" t="n">
        <f aca="false">-I13</f>
        <v>-80</v>
      </c>
      <c r="J77" s="19" t="n">
        <f aca="false">-J13</f>
        <v>-80</v>
      </c>
      <c r="K77" s="19" t="n">
        <f aca="false">-K13</f>
        <v>-80</v>
      </c>
    </row>
    <row r="78" customFormat="false" ht="15" hidden="false" customHeight="false" outlineLevel="0" collapsed="false">
      <c r="A78" s="10" t="s">
        <v>261</v>
      </c>
      <c r="G78" s="19" t="n">
        <f aca="false">-G14</f>
        <v>-700</v>
      </c>
      <c r="H78" s="19" t="n">
        <f aca="false">-H14</f>
        <v>-700</v>
      </c>
      <c r="I78" s="19" t="n">
        <f aca="false">-I14</f>
        <v>-700</v>
      </c>
      <c r="J78" s="19" t="n">
        <f aca="false">-J14</f>
        <v>-700</v>
      </c>
      <c r="K78" s="19" t="n">
        <f aca="false">-K14</f>
        <v>-700</v>
      </c>
    </row>
    <row r="79" customFormat="false" ht="15" hidden="false" customHeight="false" outlineLevel="0" collapsed="false">
      <c r="A79" s="10" t="s">
        <v>262</v>
      </c>
      <c r="G79" s="19" t="n">
        <f aca="false">-G15</f>
        <v>-0</v>
      </c>
      <c r="H79" s="19" t="n">
        <f aca="false">-H15</f>
        <v>-0</v>
      </c>
      <c r="I79" s="19" t="n">
        <f aca="false">-I15</f>
        <v>-0</v>
      </c>
      <c r="J79" s="19" t="n">
        <f aca="false">-J15</f>
        <v>-0</v>
      </c>
      <c r="K79" s="19" t="n">
        <f aca="false">-K15</f>
        <v>-0</v>
      </c>
    </row>
    <row r="80" customFormat="false" ht="15" hidden="false" customHeight="false" outlineLevel="0" collapsed="false">
      <c r="A80" s="10" t="s">
        <v>263</v>
      </c>
      <c r="G80" s="19" t="n">
        <f aca="false">G41</f>
        <v>500</v>
      </c>
      <c r="H80" s="19" t="n">
        <f aca="false">H41</f>
        <v>500</v>
      </c>
      <c r="I80" s="19" t="n">
        <f aca="false">I41</f>
        <v>500</v>
      </c>
      <c r="J80" s="19" t="n">
        <f aca="false">J41</f>
        <v>500</v>
      </c>
      <c r="K80" s="19" t="n">
        <f aca="false">K41</f>
        <v>500</v>
      </c>
    </row>
    <row r="81" customFormat="false" ht="15" hidden="false" customHeight="false" outlineLevel="0" collapsed="false">
      <c r="A81" s="10" t="s">
        <v>264</v>
      </c>
      <c r="G81" s="19" t="n">
        <f aca="false">-G40</f>
        <v>-1699.18</v>
      </c>
      <c r="H81" s="19" t="n">
        <f aca="false">-H40</f>
        <v>-1646.2602</v>
      </c>
      <c r="I81" s="19" t="n">
        <f aca="false">-I40</f>
        <v>-1543.096782</v>
      </c>
      <c r="J81" s="19" t="n">
        <f aca="false">-J40</f>
        <v>-1449.21807162</v>
      </c>
      <c r="K81" s="19" t="n">
        <f aca="false">-K40</f>
        <v>-1363.7884451742</v>
      </c>
    </row>
    <row r="82" customFormat="false" ht="15" hidden="false" customHeight="false" outlineLevel="0" collapsed="false">
      <c r="A82" s="10" t="s">
        <v>265</v>
      </c>
      <c r="G82" s="19" t="n">
        <f aca="false">G17</f>
        <v>0</v>
      </c>
      <c r="H82" s="19" t="n">
        <f aca="false">H17</f>
        <v>0</v>
      </c>
      <c r="I82" s="19" t="n">
        <f aca="false">I17</f>
        <v>0</v>
      </c>
      <c r="J82" s="19" t="n">
        <f aca="false">J17</f>
        <v>0</v>
      </c>
      <c r="K82" s="19" t="n">
        <f aca="false">K17</f>
        <v>0</v>
      </c>
    </row>
    <row r="83" customFormat="false" ht="15" hidden="false" customHeight="false" outlineLevel="0" collapsed="false">
      <c r="A83" s="10" t="s">
        <v>128</v>
      </c>
      <c r="G83" s="19" t="n">
        <f aca="false">-MAX(G36,0)*G19</f>
        <v>-183.54664377</v>
      </c>
      <c r="H83" s="19" t="n">
        <f aca="false">-MAX(H36,0)*H19</f>
        <v>-233.6320432446</v>
      </c>
      <c r="I83" s="19" t="n">
        <f aca="false">-MAX(I36,0)*I19</f>
        <v>-280.85434557453</v>
      </c>
      <c r="J83" s="19" t="n">
        <f aca="false">-MAX(J36,0)*J19</f>
        <v>-329.629898468363</v>
      </c>
      <c r="K83" s="19" t="n">
        <f aca="false">-MAX(K36,0)*K19</f>
        <v>-374.351544329612</v>
      </c>
    </row>
    <row r="84" customFormat="false" ht="15" hidden="false" customHeight="false" outlineLevel="0" collapsed="false">
      <c r="A84" s="5" t="s">
        <v>131</v>
      </c>
      <c r="B84" s="34" t="n">
        <f aca="false">Inputs!B70</f>
        <v>-600.8</v>
      </c>
      <c r="C84" s="34" t="n">
        <f aca="false">Inputs!C70</f>
        <v>253.3</v>
      </c>
      <c r="D84" s="34" t="n">
        <f aca="false">Inputs!D70</f>
        <v>-67.89</v>
      </c>
      <c r="E84" s="34" t="n">
        <f aca="false">Inputs!E70</f>
        <v>1626.9</v>
      </c>
      <c r="F84" s="34" t="n">
        <f aca="false">Inputs!F70</f>
        <v>-1513.2</v>
      </c>
      <c r="G84" s="16" t="n">
        <f aca="false">G76+SUM(G77:G83)</f>
        <v>-46.9654971042464</v>
      </c>
      <c r="H84" s="16" t="n">
        <f aca="false">H76+SUM(H77:H83)</f>
        <v>256.985239708661</v>
      </c>
      <c r="I84" s="16" t="n">
        <f aca="false">I76+SUM(I77:I83)</f>
        <v>626.120854109921</v>
      </c>
      <c r="J84" s="16" t="n">
        <f aca="false">J76+SUM(J77:J83)</f>
        <v>968.114365462937</v>
      </c>
      <c r="K84" s="16" t="n">
        <f aca="false">K76+SUM(K77:K83)</f>
        <v>1313.09209826083</v>
      </c>
    </row>
    <row r="86" customFormat="false" ht="15" hidden="false" customHeight="false" outlineLevel="0" collapsed="false">
      <c r="A86" s="3" t="s">
        <v>266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5" hidden="false" customHeight="false" outlineLevel="0" collapsed="false">
      <c r="A87" s="5" t="s">
        <v>149</v>
      </c>
      <c r="B87" s="24" t="s">
        <v>146</v>
      </c>
      <c r="C87" s="25" t="n">
        <f aca="false">IF((C31+B59)&gt;0,(C36-C32+C33+C31)/(C31+B59),"n.a.")</f>
        <v>1.47539886198817</v>
      </c>
      <c r="D87" s="25" t="n">
        <f aca="false">IF((D31+C59)&gt;0,(D36-D32+D33+D31)/(D31+C59),"n.a.")</f>
        <v>1.25122674807462</v>
      </c>
      <c r="E87" s="25" t="n">
        <f aca="false">IF((E31+D59)&gt;0,(E36-E32+E33+E31)/(E31+D59),"n.a.")</f>
        <v>1.21362590067057</v>
      </c>
      <c r="F87" s="25" t="n">
        <f aca="false">IF((F31+E59)&gt;0,(F36-F32+F33+F31)/(F31+E59),"n.a.")</f>
        <v>1.18127078418111</v>
      </c>
      <c r="G87" s="25" t="n">
        <f aca="false">IF((G31+F59)&gt;0,(G36-G32+G33+G31)/(G31+F59),"n.a.")</f>
        <v>1.18512473331814</v>
      </c>
      <c r="H87" s="25" t="n">
        <f aca="false">IF((H31+G59)&gt;0,(H36-H32+H33+H31)/(H31+G59),"n.a.")</f>
        <v>1.30968212868537</v>
      </c>
      <c r="I87" s="25" t="n">
        <f aca="false">IF((I31+H59)&gt;0,(I36-I32+I33+I31)/(I31+H59),"n.a.")</f>
        <v>1.46373499603112</v>
      </c>
      <c r="J87" s="25" t="n">
        <f aca="false">IF((J31+I59)&gt;0,(J36-J32+J33+J31)/(J31+I59),"n.a.")</f>
        <v>1.63593861907682</v>
      </c>
      <c r="K87" s="25" t="n">
        <f aca="false">IF((K31+J59)&gt;0,(K36-K32+K33+K31)/(K31+J59),"n.a.")</f>
        <v>1.81334366943817</v>
      </c>
      <c r="L87" s="2" t="s">
        <v>267</v>
      </c>
    </row>
    <row r="88" customFormat="false" ht="15" hidden="false" customHeight="false" outlineLevel="0" collapsed="false">
      <c r="A88" s="10" t="s">
        <v>268</v>
      </c>
      <c r="B88" s="19" t="n">
        <f aca="false">B64-Inputs!$B$6*B52</f>
        <v>12565.6</v>
      </c>
      <c r="C88" s="19" t="n">
        <f aca="false">C64-Inputs!$B$6*C52</f>
        <v>13378.9</v>
      </c>
      <c r="D88" s="19" t="n">
        <f aca="false">D64-Inputs!$B$6*D52</f>
        <v>13744.5</v>
      </c>
      <c r="E88" s="19" t="n">
        <f aca="false">E64-Inputs!$B$6*E52</f>
        <v>19826.6</v>
      </c>
      <c r="F88" s="19" t="n">
        <f aca="false">F64-Inputs!$B$6*F52</f>
        <v>20948.8</v>
      </c>
      <c r="G88" s="19" t="n">
        <f aca="false">G64-Inputs!$B$6*G52</f>
        <v>21988.89764803</v>
      </c>
      <c r="H88" s="19" t="n">
        <f aca="false">H64-Inputs!$B$6*H52</f>
        <v>23312.8125597494</v>
      </c>
      <c r="I88" s="19" t="n">
        <f aca="false">I64-Inputs!$B$6*I52</f>
        <v>24904.3205180051</v>
      </c>
      <c r="J88" s="19" t="n">
        <f aca="false">J64-Inputs!$B$6*J52</f>
        <v>26772.2232759925</v>
      </c>
      <c r="K88" s="19" t="n">
        <f aca="false">K64-Inputs!$B$6*K52</f>
        <v>28893.5486938603</v>
      </c>
    </row>
    <row r="89" customFormat="false" ht="15" hidden="false" customHeight="false" outlineLevel="0" collapsed="false">
      <c r="A89" s="5" t="s">
        <v>160</v>
      </c>
      <c r="B89" s="25" t="n">
        <f aca="false">IF(B88&gt;0,B63/B88,"n.m.")</f>
        <v>2.38755013688165</v>
      </c>
      <c r="C89" s="25" t="n">
        <f aca="false">IF(C88&gt;0,C63/C88,"n.m.")</f>
        <v>2.1965408217417</v>
      </c>
      <c r="D89" s="25" t="n">
        <f aca="false">IF(D88&gt;0,D63/D88,"n.m.")</f>
        <v>2.26823820437266</v>
      </c>
      <c r="E89" s="25" t="n">
        <f aca="false">IF(E88&gt;0,E63/E88,"n.m.")</f>
        <v>1.71836825275135</v>
      </c>
      <c r="F89" s="25" t="n">
        <f aca="false">IF(F88&gt;0,F63/F88,"n.m.")</f>
        <v>1.58027190101581</v>
      </c>
      <c r="G89" s="25" t="n">
        <f aca="false">IF(G88&gt;0,G63/G88,"n.m.")</f>
        <v>1.45651046447472</v>
      </c>
      <c r="H89" s="25" t="n">
        <f aca="false">IF(H88&gt;0,H63/H88,"n.m.")</f>
        <v>1.33034399042421</v>
      </c>
      <c r="I89" s="25" t="n">
        <f aca="false">IF(I88&gt;0,I63/I88,"n.m.")</f>
        <v>1.20850093883115</v>
      </c>
      <c r="J89" s="25" t="n">
        <f aca="false">IF(J88&gt;0,J63/J88,"n.m.")</f>
        <v>1.09376135754952</v>
      </c>
      <c r="K89" s="25" t="n">
        <f aca="false">IF(K88&gt;0,K63/K88,"n.m.")</f>
        <v>0.987840470269912</v>
      </c>
    </row>
    <row r="90" customFormat="false" ht="15" hidden="false" customHeight="false" outlineLevel="0" collapsed="false">
      <c r="A90" s="5" t="s">
        <v>166</v>
      </c>
      <c r="B90" s="25" t="n">
        <f aca="false">B50/B60</f>
        <v>1.781990686036</v>
      </c>
      <c r="C90" s="25" t="n">
        <f aca="false">C50/C60</f>
        <v>1.61809733999303</v>
      </c>
      <c r="D90" s="25" t="n">
        <f aca="false">D50/D60</f>
        <v>1.23791983219502</v>
      </c>
      <c r="E90" s="25" t="n">
        <f aca="false">E50/E60</f>
        <v>1.57725161496984</v>
      </c>
      <c r="F90" s="25" t="n">
        <f aca="false">F50/F60</f>
        <v>1.2386760503757</v>
      </c>
      <c r="G90" s="25" t="n">
        <f aca="false">G50/G60</f>
        <v>1.28983839570134</v>
      </c>
      <c r="H90" s="25" t="n">
        <f aca="false">H50/H60</f>
        <v>1.43856601070064</v>
      </c>
      <c r="I90" s="25" t="n">
        <f aca="false">I50/I60</f>
        <v>1.6735675765727</v>
      </c>
      <c r="J90" s="25" t="n">
        <f aca="false">J50/J60</f>
        <v>1.9888053336113</v>
      </c>
      <c r="K90" s="25" t="n">
        <f aca="false">K50/K60</f>
        <v>2.37690594212442</v>
      </c>
    </row>
    <row r="91" customFormat="false" ht="15" hidden="false" customHeight="false" outlineLevel="0" collapsed="false">
      <c r="A91" s="5" t="s">
        <v>172</v>
      </c>
      <c r="B91" s="25" t="n">
        <f aca="false">(B34-B32+B31)/B31</f>
        <v>1.41037331668976</v>
      </c>
      <c r="C91" s="25" t="n">
        <f aca="false">(C34-C32+C31)/C31</f>
        <v>1.78167605289741</v>
      </c>
      <c r="D91" s="25" t="n">
        <f aca="false">(D34-D32+D31)/D31</f>
        <v>1.67958268037696</v>
      </c>
      <c r="E91" s="25" t="n">
        <f aca="false">(E34-E32+E31)/E31</f>
        <v>1.66651785216023</v>
      </c>
      <c r="F91" s="25" t="n">
        <f aca="false">(F34-F32+F31)/F31</f>
        <v>1.73524200210808</v>
      </c>
      <c r="G91" s="25" t="n">
        <f aca="false">(G34-G32+G31)/G31</f>
        <v>2.04626681392559</v>
      </c>
      <c r="H91" s="25" t="n">
        <f aca="false">(H34-H32+H31)/H31</f>
        <v>2.41732278709809</v>
      </c>
      <c r="I91" s="25" t="n">
        <f aca="false">(I34-I32+I31)/I31</f>
        <v>2.8124845235019</v>
      </c>
      <c r="J91" s="25" t="n">
        <f aca="false">(J34-J32+J31)/J31</f>
        <v>3.25835554219108</v>
      </c>
      <c r="K91" s="25" t="n">
        <f aca="false">(K34-K32+K31)/K31</f>
        <v>3.71713390259791</v>
      </c>
    </row>
    <row r="92" customFormat="false" ht="15" hidden="false" customHeight="false" outlineLevel="0" collapsed="false">
      <c r="A92" s="10" t="s">
        <v>179</v>
      </c>
      <c r="B92" s="19" t="n">
        <f aca="false">B47/B27*Inputs!$B$5</f>
        <v>95.1476644209728</v>
      </c>
      <c r="C92" s="19" t="n">
        <f aca="false">C47/C27*Inputs!$B$5</f>
        <v>131.143972482051</v>
      </c>
      <c r="D92" s="19" t="n">
        <f aca="false">D47/D27*Inputs!$B$5</f>
        <v>64.910784181401</v>
      </c>
      <c r="E92" s="19" t="n">
        <f aca="false">E47/E27*Inputs!$B$5</f>
        <v>47.6632862544937</v>
      </c>
      <c r="F92" s="19" t="n">
        <f aca="false">F47/F27*Inputs!$B$5</f>
        <v>51.3271183227316</v>
      </c>
      <c r="G92" s="19" t="n">
        <f aca="false">G47/G27*Inputs!$B$5</f>
        <v>51</v>
      </c>
      <c r="H92" s="19" t="n">
        <f aca="false">H47/H27*Inputs!$B$5</f>
        <v>51</v>
      </c>
      <c r="I92" s="19" t="n">
        <f aca="false">I47/I27*Inputs!$B$5</f>
        <v>51</v>
      </c>
      <c r="J92" s="19" t="n">
        <f aca="false">J47/J27*Inputs!$B$5</f>
        <v>51</v>
      </c>
      <c r="K92" s="19" t="n">
        <f aca="false">K47/K27*Inputs!$B$5</f>
        <v>51</v>
      </c>
    </row>
    <row r="93" customFormat="false" ht="15" hidden="false" customHeight="false" outlineLevel="0" collapsed="false">
      <c r="A93" s="10" t="s">
        <v>181</v>
      </c>
      <c r="B93" s="19" t="n">
        <f aca="false">B48/B28*Inputs!$B$5</f>
        <v>38.5494977047435</v>
      </c>
      <c r="C93" s="19" t="n">
        <f aca="false">C48/C28*Inputs!$B$5</f>
        <v>34.3991224890548</v>
      </c>
      <c r="D93" s="19" t="n">
        <f aca="false">D48/D28*Inputs!$B$5</f>
        <v>26.2388986586416</v>
      </c>
      <c r="E93" s="19" t="n">
        <f aca="false">E48/E28*Inputs!$B$5</f>
        <v>30.8385026524471</v>
      </c>
      <c r="F93" s="19" t="n">
        <f aca="false">F48/F28*Inputs!$B$5</f>
        <v>36.5365365365365</v>
      </c>
      <c r="G93" s="19" t="n">
        <f aca="false">G48/G28*Inputs!$B$5</f>
        <v>36.5</v>
      </c>
      <c r="H93" s="19" t="n">
        <f aca="false">H48/H28*Inputs!$B$5</f>
        <v>36.5</v>
      </c>
      <c r="I93" s="19" t="n">
        <f aca="false">I48/I28*Inputs!$B$5</f>
        <v>36.5</v>
      </c>
      <c r="J93" s="19" t="n">
        <f aca="false">J48/J28*Inputs!$B$5</f>
        <v>36.5</v>
      </c>
      <c r="K93" s="19" t="n">
        <f aca="false">K48/K28*Inputs!$B$5</f>
        <v>36.5</v>
      </c>
    </row>
    <row r="94" customFormat="false" ht="15" hidden="false" customHeight="false" outlineLevel="0" collapsed="false">
      <c r="A94" s="10" t="s">
        <v>182</v>
      </c>
      <c r="B94" s="19" t="n">
        <f aca="false">B56/B28*Inputs!$B$5</f>
        <v>46.3443882642539</v>
      </c>
      <c r="C94" s="19" t="n">
        <f aca="false">C56/C28*Inputs!$B$5</f>
        <v>57.7767201137234</v>
      </c>
      <c r="D94" s="19" t="n">
        <f aca="false">D56/D28*Inputs!$B$5</f>
        <v>60.4900164573323</v>
      </c>
      <c r="E94" s="19" t="n">
        <f aca="false">E56/E28*Inputs!$B$5</f>
        <v>47.5237173185082</v>
      </c>
      <c r="F94" s="19" t="n">
        <f aca="false">F56/F28*Inputs!$B$5</f>
        <v>25.5656201160288</v>
      </c>
      <c r="G94" s="19" t="n">
        <f aca="false">G56/G28*Inputs!$B$5</f>
        <v>25.6</v>
      </c>
      <c r="H94" s="19" t="n">
        <f aca="false">H56/H28*Inputs!$B$5</f>
        <v>25.6</v>
      </c>
      <c r="I94" s="19" t="n">
        <f aca="false">I56/I28*Inputs!$B$5</f>
        <v>25.6</v>
      </c>
      <c r="J94" s="19" t="n">
        <f aca="false">J56/J28*Inputs!$B$5</f>
        <v>25.6</v>
      </c>
      <c r="K94" s="19" t="n">
        <f aca="false">K56/K28*Inputs!$B$5</f>
        <v>25.6</v>
      </c>
    </row>
    <row r="95" customFormat="false" ht="15" hidden="false" customHeight="false" outlineLevel="0" collapsed="false">
      <c r="A95" s="5" t="s">
        <v>183</v>
      </c>
      <c r="B95" s="16" t="n">
        <f aca="false">B92+B93-B94</f>
        <v>87.3527738614625</v>
      </c>
      <c r="C95" s="16" t="n">
        <f aca="false">C92+C93-C94</f>
        <v>107.766374857383</v>
      </c>
      <c r="D95" s="16" t="n">
        <f aca="false">D92+D93-D94</f>
        <v>30.6596663827102</v>
      </c>
      <c r="E95" s="16" t="n">
        <f aca="false">E92+E93-E94</f>
        <v>30.9780715884325</v>
      </c>
      <c r="F95" s="16" t="n">
        <f aca="false">F92+F93-F94</f>
        <v>62.2980347432393</v>
      </c>
      <c r="G95" s="16" t="n">
        <f aca="false">G92+G93-G94</f>
        <v>61.9</v>
      </c>
      <c r="H95" s="16" t="n">
        <f aca="false">H92+H93-H94</f>
        <v>61.9</v>
      </c>
      <c r="I95" s="16" t="n">
        <f aca="false">I92+I93-I94</f>
        <v>61.9</v>
      </c>
      <c r="J95" s="16" t="n">
        <f aca="false">J92+J93-J94</f>
        <v>61.9</v>
      </c>
      <c r="K95" s="16" t="n">
        <f aca="false">K92+K93-K94</f>
        <v>61.9</v>
      </c>
    </row>
    <row r="96" customFormat="false" ht="15" hidden="false" customHeight="false" outlineLevel="0" collapsed="false">
      <c r="A96" s="10" t="s">
        <v>187</v>
      </c>
      <c r="B96" s="26" t="n">
        <f aca="false">B43/B29</f>
        <v>5.97068811438785</v>
      </c>
      <c r="C96" s="26" t="n">
        <f aca="false">C43/C29</f>
        <v>5.18676196876461</v>
      </c>
      <c r="D96" s="26" t="n">
        <f aca="false">D43/D29</f>
        <v>5.59860915603925</v>
      </c>
      <c r="E96" s="26" t="n">
        <f aca="false">E43/E29</f>
        <v>5.71274456785501</v>
      </c>
      <c r="F96" s="26" t="n">
        <f aca="false">F43/F29</f>
        <v>5.02962464400701</v>
      </c>
      <c r="G96" s="26" t="n">
        <f aca="false">G43/G29</f>
        <v>4.38346885853799</v>
      </c>
      <c r="H96" s="26" t="n">
        <f aca="false">H43/H29</f>
        <v>3.81166563164764</v>
      </c>
      <c r="I96" s="26" t="n">
        <f aca="false">I43/I29</f>
        <v>3.35215230503043</v>
      </c>
      <c r="J96" s="26" t="n">
        <f aca="false">J43/J29</f>
        <v>2.95412519957319</v>
      </c>
      <c r="K96" s="26" t="n">
        <f aca="false">K43/K29</f>
        <v>2.63347475999827</v>
      </c>
    </row>
    <row r="98" customFormat="false" ht="15" hidden="false" customHeight="false" outlineLevel="0" collapsed="false">
      <c r="A98" s="3" t="s">
        <v>269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5" hidden="false" customHeight="false" outlineLevel="0" collapsed="false">
      <c r="A99" s="5" t="s">
        <v>270</v>
      </c>
      <c r="C99" s="5" t="str">
        <f aca="false">IF(ISNUMBER(C87),IF(C87&gt;=Inputs!$B$7,"OK","BREACH"),"n.a.")</f>
        <v>OK</v>
      </c>
      <c r="D99" s="5" t="str">
        <f aca="false">IF(ISNUMBER(D87),IF(D87&gt;=Inputs!$B$7,"OK","BREACH"),"n.a.")</f>
        <v>OK</v>
      </c>
      <c r="E99" s="5" t="str">
        <f aca="false">IF(ISNUMBER(E87),IF(E87&gt;=Inputs!$B$7,"OK","BREACH"),"n.a.")</f>
        <v>OK</v>
      </c>
      <c r="F99" s="5" t="str">
        <f aca="false">IF(ISNUMBER(F87),IF(F87&gt;=Inputs!$B$7,"OK","BREACH"),"n.a.")</f>
        <v>BREACH</v>
      </c>
      <c r="G99" s="5" t="str">
        <f aca="false">IF(ISNUMBER(G87),IF(G87&gt;=Inputs!$B$7,"OK","BREACH"),"n.a.")</f>
        <v>BREACH</v>
      </c>
      <c r="H99" s="5" t="str">
        <f aca="false">IF(ISNUMBER(H87),IF(H87&gt;=Inputs!$B$7,"OK","BREACH"),"n.a.")</f>
        <v>OK</v>
      </c>
      <c r="I99" s="5" t="str">
        <f aca="false">IF(ISNUMBER(I87),IF(I87&gt;=Inputs!$B$7,"OK","BREACH"),"n.a.")</f>
        <v>OK</v>
      </c>
      <c r="J99" s="5" t="str">
        <f aca="false">IF(ISNUMBER(J87),IF(J87&gt;=Inputs!$B$7,"OK","BREACH"),"n.a.")</f>
        <v>OK</v>
      </c>
      <c r="K99" s="5" t="str">
        <f aca="false">IF(ISNUMBER(K87),IF(K87&gt;=Inputs!$B$7,"OK","BREACH"),"n.a.")</f>
        <v>OK</v>
      </c>
    </row>
    <row r="100" customFormat="false" ht="15" hidden="false" customHeight="false" outlineLevel="0" collapsed="false">
      <c r="A100" s="5" t="s">
        <v>271</v>
      </c>
      <c r="B100" s="5" t="str">
        <f aca="false">IF(ISNUMBER(B90),IF(B90&gt;=Inputs!$B$8,"OK","BREACH"),"n.a.")</f>
        <v>OK</v>
      </c>
      <c r="C100" s="5" t="str">
        <f aca="false">IF(ISNUMBER(C90),IF(C90&gt;=Inputs!$B$8,"OK","BREACH"),"n.a.")</f>
        <v>OK</v>
      </c>
      <c r="D100" s="5" t="str">
        <f aca="false">IF(ISNUMBER(D90),IF(D90&gt;=Inputs!$B$8,"OK","BREACH"),"n.a.")</f>
        <v>OK</v>
      </c>
      <c r="E100" s="5" t="str">
        <f aca="false">IF(ISNUMBER(E90),IF(E90&gt;=Inputs!$B$8,"OK","BREACH"),"n.a.")</f>
        <v>OK</v>
      </c>
      <c r="F100" s="5" t="str">
        <f aca="false">IF(ISNUMBER(F90),IF(F90&gt;=Inputs!$B$8,"OK","BREACH"),"n.a.")</f>
        <v>OK</v>
      </c>
      <c r="G100" s="5" t="str">
        <f aca="false">IF(ISNUMBER(G90),IF(G90&gt;=Inputs!$B$8,"OK","BREACH"),"n.a.")</f>
        <v>OK</v>
      </c>
      <c r="H100" s="5" t="str">
        <f aca="false">IF(ISNUMBER(H90),IF(H90&gt;=Inputs!$B$8,"OK","BREACH"),"n.a.")</f>
        <v>OK</v>
      </c>
      <c r="I100" s="5" t="str">
        <f aca="false">IF(ISNUMBER(I90),IF(I90&gt;=Inputs!$B$8,"OK","BREACH"),"n.a.")</f>
        <v>OK</v>
      </c>
      <c r="J100" s="5" t="str">
        <f aca="false">IF(ISNUMBER(J90),IF(J90&gt;=Inputs!$B$8,"OK","BREACH"),"n.a.")</f>
        <v>OK</v>
      </c>
      <c r="K100" s="5" t="str">
        <f aca="false">IF(ISNUMBER(K90),IF(K90&gt;=Inputs!$B$8,"OK","BREACH"),"n.a.")</f>
        <v>OK</v>
      </c>
    </row>
    <row r="101" customFormat="false" ht="15" hidden="false" customHeight="false" outlineLevel="0" collapsed="false">
      <c r="A101" s="5" t="s">
        <v>272</v>
      </c>
      <c r="B101" s="5" t="str">
        <f aca="false">IF(ISNUMBER(B89),IF(B89&lt;=Inputs!$B$9,"OK","BREACH"),"n.a.")</f>
        <v>OK</v>
      </c>
      <c r="C101" s="5" t="str">
        <f aca="false">IF(ISNUMBER(C89),IF(C89&lt;=Inputs!$B$9,"OK","BREACH"),"n.a.")</f>
        <v>OK</v>
      </c>
      <c r="D101" s="5" t="str">
        <f aca="false">IF(ISNUMBER(D89),IF(D89&lt;=Inputs!$B$9,"OK","BREACH"),"n.a.")</f>
        <v>OK</v>
      </c>
      <c r="E101" s="5" t="str">
        <f aca="false">IF(ISNUMBER(E89),IF(E89&lt;=Inputs!$B$9,"OK","BREACH"),"n.a.")</f>
        <v>OK</v>
      </c>
      <c r="F101" s="5" t="str">
        <f aca="false">IF(ISNUMBER(F89),IF(F89&lt;=Inputs!$B$9,"OK","BREACH"),"n.a.")</f>
        <v>OK</v>
      </c>
      <c r="G101" s="5" t="str">
        <f aca="false">IF(ISNUMBER(G89),IF(G89&lt;=Inputs!$B$9,"OK","BREACH"),"n.a.")</f>
        <v>OK</v>
      </c>
      <c r="H101" s="5" t="str">
        <f aca="false">IF(ISNUMBER(H89),IF(H89&lt;=Inputs!$B$9,"OK","BREACH"),"n.a.")</f>
        <v>OK</v>
      </c>
      <c r="I101" s="5" t="str">
        <f aca="false">IF(ISNUMBER(I89),IF(I89&lt;=Inputs!$B$9,"OK","BREACH"),"n.a.")</f>
        <v>OK</v>
      </c>
      <c r="J101" s="5" t="str">
        <f aca="false">IF(ISNUMBER(J89),IF(J89&lt;=Inputs!$B$9,"OK","BREACH"),"n.a.")</f>
        <v>OK</v>
      </c>
      <c r="K101" s="5" t="str">
        <f aca="false">IF(ISNUMBER(K89),IF(K89&lt;=Inputs!$B$9,"OK","BREACH"),"n.a.")</f>
        <v>OK</v>
      </c>
    </row>
    <row r="102" customFormat="false" ht="15" hidden="false" customHeight="false" outlineLevel="0" collapsed="false">
      <c r="A102" s="5" t="s">
        <v>273</v>
      </c>
      <c r="B102" s="5" t="str">
        <f aca="false">IF(ISNUMBER(B91),IF(B91&gt;=Inputs!$B$10,"OK","BREACH"),"n.a.")</f>
        <v>BREACH</v>
      </c>
      <c r="C102" s="5" t="str">
        <f aca="false">IF(ISNUMBER(C91),IF(C91&gt;=Inputs!$B$10,"OK","BREACH"),"n.a.")</f>
        <v>OK</v>
      </c>
      <c r="D102" s="5" t="str">
        <f aca="false">IF(ISNUMBER(D91),IF(D91&gt;=Inputs!$B$10,"OK","BREACH"),"n.a.")</f>
        <v>OK</v>
      </c>
      <c r="E102" s="5" t="str">
        <f aca="false">IF(ISNUMBER(E91),IF(E91&gt;=Inputs!$B$10,"OK","BREACH"),"n.a.")</f>
        <v>OK</v>
      </c>
      <c r="F102" s="5" t="str">
        <f aca="false">IF(ISNUMBER(F91),IF(F91&gt;=Inputs!$B$10,"OK","BREACH"),"n.a.")</f>
        <v>OK</v>
      </c>
      <c r="G102" s="5" t="str">
        <f aca="false">IF(ISNUMBER(G91),IF(G91&gt;=Inputs!$B$10,"OK","BREACH"),"n.a.")</f>
        <v>OK</v>
      </c>
      <c r="H102" s="5" t="str">
        <f aca="false">IF(ISNUMBER(H91),IF(H91&gt;=Inputs!$B$10,"OK","BREACH"),"n.a.")</f>
        <v>OK</v>
      </c>
      <c r="I102" s="5" t="str">
        <f aca="false">IF(ISNUMBER(I91),IF(I91&gt;=Inputs!$B$10,"OK","BREACH"),"n.a.")</f>
        <v>OK</v>
      </c>
      <c r="J102" s="5" t="str">
        <f aca="false">IF(ISNUMBER(J91),IF(J91&gt;=Inputs!$B$10,"OK","BREACH"),"n.a.")</f>
        <v>OK</v>
      </c>
      <c r="K102" s="5" t="str">
        <f aca="false">IF(ISNUMBER(K91),IF(K91&gt;=Inputs!$B$10,"OK","BREACH"),"n.a.")</f>
        <v>OK</v>
      </c>
    </row>
    <row r="103" customFormat="false" ht="15" hidden="false" customHeight="false" outlineLevel="0" collapsed="false">
      <c r="A103" s="5" t="s">
        <v>274</v>
      </c>
      <c r="B103" s="5" t="str">
        <f aca="false">IF(B46&gt;=0,"OK","SHORTFALL")</f>
        <v>OK</v>
      </c>
      <c r="C103" s="5" t="str">
        <f aca="false">IF(C46&gt;=0,"OK","SHORTFALL")</f>
        <v>OK</v>
      </c>
      <c r="D103" s="5" t="str">
        <f aca="false">IF(D46&gt;=0,"OK","SHORTFALL")</f>
        <v>OK</v>
      </c>
      <c r="E103" s="5" t="str">
        <f aca="false">IF(E46&gt;=0,"OK","SHORTFALL")</f>
        <v>OK</v>
      </c>
      <c r="F103" s="5" t="str">
        <f aca="false">IF(F46&gt;=0,"OK","SHORTFALL")</f>
        <v>OK</v>
      </c>
      <c r="G103" s="5" t="str">
        <f aca="false">IF(G46&gt;=0,"OK","SHORTFALL")</f>
        <v>OK</v>
      </c>
      <c r="H103" s="5" t="str">
        <f aca="false">IF(H46&gt;=0,"OK","SHORTFALL")</f>
        <v>OK</v>
      </c>
      <c r="I103" s="5" t="str">
        <f aca="false">IF(I46&gt;=0,"OK","SHORTFALL")</f>
        <v>OK</v>
      </c>
      <c r="J103" s="5" t="str">
        <f aca="false">IF(J46&gt;=0,"OK","SHORTFALL")</f>
        <v>OK</v>
      </c>
      <c r="K103" s="5" t="str">
        <f aca="false">IF(K46&gt;=0,"OK","SHORTFALL")</f>
        <v>OK</v>
      </c>
    </row>
    <row r="104" customFormat="false" ht="15" hidden="false" customHeight="false" outlineLevel="0" collapsed="false">
      <c r="A104" s="5" t="s">
        <v>275</v>
      </c>
      <c r="B104" s="5" t="str">
        <f aca="false">IF(ABS(B66)&lt;0.5,"OK","ERROR")</f>
        <v>OK</v>
      </c>
      <c r="C104" s="5" t="str">
        <f aca="false">IF(ABS(C66)&lt;0.5,"OK","ERROR")</f>
        <v>OK</v>
      </c>
      <c r="D104" s="5" t="str">
        <f aca="false">IF(ABS(D66)&lt;0.5,"OK","ERROR")</f>
        <v>OK</v>
      </c>
      <c r="E104" s="5" t="str">
        <f aca="false">IF(ABS(E66)&lt;0.5,"OK","ERROR")</f>
        <v>OK</v>
      </c>
      <c r="F104" s="5" t="str">
        <f aca="false">IF(ABS(F66)&lt;0.5,"OK","ERROR")</f>
        <v>OK</v>
      </c>
      <c r="G104" s="5" t="str">
        <f aca="false">IF(ABS(G66)&lt;0.5,"OK","ERROR")</f>
        <v>OK</v>
      </c>
      <c r="H104" s="5" t="str">
        <f aca="false">IF(ABS(H66)&lt;0.5,"OK","ERROR")</f>
        <v>OK</v>
      </c>
      <c r="I104" s="5" t="str">
        <f aca="false">IF(ABS(I66)&lt;0.5,"OK","ERROR")</f>
        <v>OK</v>
      </c>
      <c r="J104" s="5" t="str">
        <f aca="false">IF(ABS(J66)&lt;0.5,"OK","ERROR")</f>
        <v>OK</v>
      </c>
      <c r="K104" s="5" t="str">
        <f aca="false">IF(ABS(K66)&lt;0.5,"OK","ERROR")</f>
        <v>OK</v>
      </c>
    </row>
  </sheetData>
  <conditionalFormatting sqref="B87:K87">
    <cfRule type="expression" priority="2" aboveAverage="0" equalAverage="0" bottom="0" percent="0" rank="0" text="" dxfId="0">
      <formula>AND(ISNUMBER(B87),B87&lt;Inputs!$B$7)</formula>
    </cfRule>
  </conditionalFormatting>
  <conditionalFormatting sqref="B90:K90">
    <cfRule type="expression" priority="3" aboveAverage="0" equalAverage="0" bottom="0" percent="0" rank="0" text="" dxfId="0">
      <formula>AND(ISNUMBER(B90),B90&lt;Inputs!$B$8)</formula>
    </cfRule>
  </conditionalFormatting>
  <conditionalFormatting sqref="B91:K91">
    <cfRule type="expression" priority="4" aboveAverage="0" equalAverage="0" bottom="0" percent="0" rank="0" text="" dxfId="0">
      <formula>AND(ISNUMBER(B91),B91&lt;Inputs!$B$10)</formula>
    </cfRule>
  </conditionalFormatting>
  <conditionalFormatting sqref="B89:K89">
    <cfRule type="expression" priority="5" aboveAverage="0" equalAverage="0" bottom="0" percent="0" rank="0" text="" dxfId="0">
      <formula>AND(ISNUMBER(B89),B89&gt;Inputs!$B$9)</formula>
    </cfRule>
  </conditionalFormatting>
  <conditionalFormatting sqref="B99:K99">
    <cfRule type="expression" priority="6" aboveAverage="0" equalAverage="0" bottom="0" percent="0" rank="0" text="" dxfId="0">
      <formula>OR(B99="BREACH",B99="SHORTFALL",B99="ERROR")</formula>
    </cfRule>
    <cfRule type="expression" priority="7" aboveAverage="0" equalAverage="0" bottom="0" percent="0" rank="0" text="" dxfId="1">
      <formula>B99="OK"</formula>
    </cfRule>
  </conditionalFormatting>
  <conditionalFormatting sqref="B100:K100">
    <cfRule type="expression" priority="8" aboveAverage="0" equalAverage="0" bottom="0" percent="0" rank="0" text="" dxfId="0">
      <formula>OR(B100="BREACH",B100="SHORTFALL",B100="ERROR")</formula>
    </cfRule>
    <cfRule type="expression" priority="9" aboveAverage="0" equalAverage="0" bottom="0" percent="0" rank="0" text="" dxfId="1">
      <formula>B100="OK"</formula>
    </cfRule>
  </conditionalFormatting>
  <conditionalFormatting sqref="B101:K101">
    <cfRule type="expression" priority="10" aboveAverage="0" equalAverage="0" bottom="0" percent="0" rank="0" text="" dxfId="0">
      <formula>OR(B101="BREACH",B101="SHORTFALL",B101="ERROR")</formula>
    </cfRule>
    <cfRule type="expression" priority="11" aboveAverage="0" equalAverage="0" bottom="0" percent="0" rank="0" text="" dxfId="1">
      <formula>B101="OK"</formula>
    </cfRule>
  </conditionalFormatting>
  <conditionalFormatting sqref="B102:K102">
    <cfRule type="expression" priority="12" aboveAverage="0" equalAverage="0" bottom="0" percent="0" rank="0" text="" dxfId="0">
      <formula>OR(B102="BREACH",B102="SHORTFALL",B102="ERROR")</formula>
    </cfRule>
    <cfRule type="expression" priority="13" aboveAverage="0" equalAverage="0" bottom="0" percent="0" rank="0" text="" dxfId="1">
      <formula>B102="OK"</formula>
    </cfRule>
  </conditionalFormatting>
  <conditionalFormatting sqref="B103:K103">
    <cfRule type="expression" priority="14" aboveAverage="0" equalAverage="0" bottom="0" percent="0" rank="0" text="" dxfId="0">
      <formula>OR(B103="BREACH",B103="SHORTFALL",B103="ERROR")</formula>
    </cfRule>
    <cfRule type="expression" priority="15" aboveAverage="0" equalAverage="0" bottom="0" percent="0" rank="0" text="" dxfId="1">
      <formula>B103="OK"</formula>
    </cfRule>
  </conditionalFormatting>
  <conditionalFormatting sqref="B104:K104">
    <cfRule type="expression" priority="16" aboveAverage="0" equalAverage="0" bottom="0" percent="0" rank="0" text="" dxfId="0">
      <formula>OR(B104="BREACH",B104="SHORTFALL",B104="ERROR")</formula>
    </cfRule>
    <cfRule type="expression" priority="17" aboveAverage="0" equalAverage="0" bottom="0" percent="0" rank="0" text="" dxfId="1">
      <formula>B104="OK"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8" min="3" style="0" width="12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15" hidden="false" customHeight="false" outlineLevel="0" collapsed="false">
      <c r="A4" s="3" t="s">
        <v>278</v>
      </c>
      <c r="B4" s="35"/>
    </row>
    <row r="5" customFormat="false" ht="15" hidden="false" customHeight="false" outlineLevel="0" collapsed="false">
      <c r="A5" s="10" t="s">
        <v>279</v>
      </c>
      <c r="B5" s="20" t="n">
        <f aca="false">Projections!F27</f>
        <v>7648.15</v>
      </c>
    </row>
    <row r="6" customFormat="false" ht="15" hidden="false" customHeight="false" outlineLevel="0" collapsed="false">
      <c r="A6" s="10" t="s">
        <v>189</v>
      </c>
      <c r="B6" s="36" t="n">
        <f aca="false">Projections!G7</f>
        <v>0.08</v>
      </c>
    </row>
    <row r="7" customFormat="false" ht="15" hidden="false" customHeight="false" outlineLevel="0" collapsed="false">
      <c r="A7" s="10" t="s">
        <v>190</v>
      </c>
      <c r="B7" s="36" t="n">
        <f aca="false">Projections!G8</f>
        <v>0.52</v>
      </c>
    </row>
    <row r="8" customFormat="false" ht="15" hidden="false" customHeight="false" outlineLevel="0" collapsed="false">
      <c r="A8" s="10" t="s">
        <v>206</v>
      </c>
      <c r="B8" s="36" t="n">
        <f aca="false">Projections!G9</f>
        <v>0.027</v>
      </c>
    </row>
    <row r="9" customFormat="false" ht="15" hidden="false" customHeight="false" outlineLevel="0" collapsed="false">
      <c r="A9" s="10" t="s">
        <v>75</v>
      </c>
      <c r="B9" s="20" t="n">
        <f aca="false">Projections!G33</f>
        <v>1099.3954</v>
      </c>
    </row>
    <row r="10" customFormat="false" ht="15" hidden="false" customHeight="false" outlineLevel="0" collapsed="false">
      <c r="A10" s="10" t="s">
        <v>280</v>
      </c>
      <c r="B10" s="36" t="n">
        <f aca="false">Projections!G11</f>
        <v>0.086</v>
      </c>
    </row>
    <row r="11" customFormat="false" ht="15" hidden="false" customHeight="false" outlineLevel="0" collapsed="false">
      <c r="A11" s="10" t="s">
        <v>281</v>
      </c>
      <c r="B11" s="36" t="n">
        <f aca="false">Projections!G12</f>
        <v>0.3</v>
      </c>
    </row>
    <row r="12" customFormat="false" ht="15" hidden="false" customHeight="false" outlineLevel="0" collapsed="false">
      <c r="A12" s="10" t="s">
        <v>282</v>
      </c>
      <c r="B12" s="20" t="n">
        <f aca="false">AVERAGE(Projections!F43,Projections!G43)</f>
        <v>19427.47</v>
      </c>
    </row>
    <row r="13" customFormat="false" ht="15" hidden="false" customHeight="false" outlineLevel="0" collapsed="false">
      <c r="A13" s="10" t="s">
        <v>283</v>
      </c>
      <c r="B13" s="20" t="n">
        <f aca="false">Projections!F59</f>
        <v>1699.18</v>
      </c>
    </row>
    <row r="14" customFormat="false" ht="15" hidden="false" customHeight="false" outlineLevel="0" collapsed="false">
      <c r="A14" s="10" t="s">
        <v>284</v>
      </c>
      <c r="B14" s="20" t="n">
        <f aca="false">Projections!G63</f>
        <v>32027.0595266192</v>
      </c>
    </row>
    <row r="15" customFormat="false" ht="15" hidden="false" customHeight="false" outlineLevel="0" collapsed="false">
      <c r="A15" s="10" t="s">
        <v>285</v>
      </c>
      <c r="B15" s="20" t="n">
        <f aca="false">Projections!G64</f>
        <v>21988.89764803</v>
      </c>
    </row>
    <row r="16" customFormat="false" ht="15" hidden="false" customHeight="false" outlineLevel="0" collapsed="false">
      <c r="A16" s="10" t="s">
        <v>286</v>
      </c>
      <c r="B16" s="36" t="n">
        <f aca="false">Projections!G19</f>
        <v>0.15</v>
      </c>
    </row>
    <row r="17" customFormat="false" ht="15" hidden="false" customHeight="false" outlineLevel="0" collapsed="false">
      <c r="A17" s="10" t="s">
        <v>287</v>
      </c>
      <c r="B17" s="20" t="n">
        <f aca="false">Projections!G52</f>
        <v>22634.4046</v>
      </c>
    </row>
    <row r="18" customFormat="false" ht="15" hidden="false" customHeight="false" outlineLevel="0" collapsed="false">
      <c r="A18" s="10" t="s">
        <v>288</v>
      </c>
      <c r="B18" s="20" t="n">
        <f aca="false">Projections!G36</f>
        <v>1223.6442918</v>
      </c>
    </row>
    <row r="19" customFormat="false" ht="15" hidden="false" customHeight="false" outlineLevel="0" collapsed="false">
      <c r="A19" s="10" t="s">
        <v>289</v>
      </c>
      <c r="B19" s="37" t="n">
        <f aca="false">Projections!G87</f>
        <v>1.18512473331814</v>
      </c>
    </row>
    <row r="20" customFormat="false" ht="15" hidden="false" customHeight="false" outlineLevel="0" collapsed="false">
      <c r="A20" s="10" t="s">
        <v>290</v>
      </c>
      <c r="B20" s="37" t="n">
        <f aca="false">Projections!G91</f>
        <v>2.04626681392559</v>
      </c>
    </row>
    <row r="21" customFormat="false" ht="15" hidden="false" customHeight="false" outlineLevel="0" collapsed="false">
      <c r="A21" s="10" t="s">
        <v>291</v>
      </c>
      <c r="B21" s="37" t="n">
        <f aca="false">Projections!G89</f>
        <v>1.45651046447472</v>
      </c>
    </row>
    <row r="22" customFormat="false" ht="15" hidden="false" customHeight="false" outlineLevel="0" collapsed="false">
      <c r="A22" s="10" t="s">
        <v>292</v>
      </c>
      <c r="B22" s="38" t="n">
        <f aca="false">(((($B$5*(1+$B$6))*$B$7+($B$5*(1+$B$6))*$B$8-$B$9-(($B$12+0/2)*($B$10+0)))-MAX((($B$5*(1+$B$6))*$B$7+($B$5*(1+$B$6))*$B$8-$B$9-(($B$12+0/2)*($B$10+0))),0)*$B$11)+$B$9+(($B$12+0/2)*($B$10+0)))/((($B$12+0/2)*($B$10+0))+$B$13)-B19</f>
        <v>0</v>
      </c>
    </row>
    <row r="23" customFormat="false" ht="15" hidden="false" customHeight="false" outlineLevel="0" collapsed="false">
      <c r="A23" s="10" t="s">
        <v>293</v>
      </c>
      <c r="B23" s="38" t="n">
        <f aca="false">IF(($B$15+(((($B$5*(1+$B$6))*$B$7+($B$5*(1+$B$6))*$B$8-$B$9-(($B$12+0/2)*($B$10+0)))-MAX((($B$5*(1+$B$6))*$B$7+($B$5*(1+$B$6))*$B$8-$B$9-(($B$12+0/2)*($B$10+0))),0)*$B$11)-$B$18)*(1-$B$16)-Inputs!$B$6*$B$17)&gt;0,($B$14+0)/($B$15+(((($B$5*(1+$B$6))*$B$7+($B$5*(1+$B$6))*$B$8-$B$9-(($B$12+0/2)*($B$10+0)))-MAX((($B$5*(1+$B$6))*$B$7+($B$5*(1+$B$6))*$B$8-$B$9-(($B$12+0/2)*($B$10+0))),0)*$B$11)-$B$18)*(1-$B$16)-Inputs!$B$6*$B$17),"n.m.")-B21</f>
        <v>0</v>
      </c>
    </row>
    <row r="25" customFormat="false" ht="15" hidden="false" customHeight="false" outlineLevel="0" collapsed="false">
      <c r="A25" s="3" t="s">
        <v>294</v>
      </c>
      <c r="B25" s="4"/>
      <c r="C25" s="4"/>
      <c r="D25" s="4"/>
      <c r="E25" s="4"/>
      <c r="F25" s="4"/>
      <c r="G25" s="4"/>
      <c r="H25" s="4"/>
    </row>
    <row r="26" customFormat="false" ht="15" hidden="false" customHeight="false" outlineLevel="0" collapsed="false">
      <c r="A26" s="2" t="s">
        <v>295</v>
      </c>
      <c r="B26" s="39" t="s">
        <v>296</v>
      </c>
      <c r="C26" s="40" t="n">
        <v>-0.01</v>
      </c>
      <c r="D26" s="40" t="n">
        <v>-0.005</v>
      </c>
      <c r="E26" s="40" t="n">
        <v>0</v>
      </c>
      <c r="F26" s="40" t="n">
        <v>0.005</v>
      </c>
      <c r="G26" s="40" t="n">
        <v>0.01</v>
      </c>
      <c r="H26" s="40" t="n">
        <v>0.02</v>
      </c>
    </row>
    <row r="27" customFormat="false" ht="15" hidden="false" customHeight="false" outlineLevel="0" collapsed="false">
      <c r="B27" s="39" t="s">
        <v>297</v>
      </c>
      <c r="C27" s="41" t="n">
        <f aca="false">$B$10+C26</f>
        <v>0.076</v>
      </c>
      <c r="D27" s="41" t="n">
        <f aca="false">$B$10+D26</f>
        <v>0.081</v>
      </c>
      <c r="E27" s="41" t="n">
        <f aca="false">$B$10+E26</f>
        <v>0.086</v>
      </c>
      <c r="F27" s="41" t="n">
        <f aca="false">$B$10+F26</f>
        <v>0.091</v>
      </c>
      <c r="G27" s="41" t="n">
        <f aca="false">$B$10+G26</f>
        <v>0.096</v>
      </c>
      <c r="H27" s="41" t="n">
        <f aca="false">$B$10+H26</f>
        <v>0.106</v>
      </c>
    </row>
    <row r="28" customFormat="false" ht="15" hidden="false" customHeight="false" outlineLevel="0" collapsed="false">
      <c r="A28" s="40" t="n">
        <v>-0.15</v>
      </c>
      <c r="B28" s="41" t="n">
        <f aca="false">$B$6+A28</f>
        <v>-0.07</v>
      </c>
      <c r="C28" s="42" t="n">
        <f aca="false">(((($B$5*(1+$B28))*$B$7+($B$5*(1+$B28))*$B$8-$B$9-(($B$12+0/2)*($B$10+C$26)))-MAX((($B$5*(1+$B28))*$B$7+($B$5*(1+$B28))*$B$8-$B$9-(($B$12+0/2)*($B$10+C$26))),0)*$B$11)+$B$9+(($B$12+0/2)*($B$10+C$26)))/((($B$12+0/2)*($B$10+C$26))+$B$13)</f>
        <v>1.10094900185275</v>
      </c>
      <c r="D28" s="42" t="n">
        <f aca="false">(((($B$5*(1+$B28))*$B$7+($B$5*(1+$B28))*$B$8-$B$9-(($B$12+0/2)*($B$10+D$26)))-MAX((($B$5*(1+$B28))*$B$7+($B$5*(1+$B28))*$B$8-$B$9-(($B$12+0/2)*($B$10+D$26))),0)*$B$11)+$B$9+(($B$12+0/2)*($B$10+D$26)))/((($B$12+0/2)*($B$10+D$26))+$B$13)</f>
        <v>1.07717671420926</v>
      </c>
      <c r="E28" s="42" t="n">
        <f aca="false">(((($B$5*(1+$B28))*$B$7+($B$5*(1+$B28))*$B$8-$B$9-(($B$12+0/2)*($B$10+E$26)))-MAX((($B$5*(1+$B28))*$B$7+($B$5*(1+$B28))*$B$8-$B$9-(($B$12+0/2)*($B$10+E$26))),0)*$B$11)+$B$9+(($B$12+0/2)*($B$10+E$26)))/((($B$12+0/2)*($B$10+E$26))+$B$13)</f>
        <v>1.05477488145035</v>
      </c>
      <c r="F28" s="42" t="n">
        <f aca="false">(((($B$5*(1+$B28))*$B$7+($B$5*(1+$B28))*$B$8-$B$9-(($B$12+0/2)*($B$10+F$26)))-MAX((($B$5*(1+$B28))*$B$7+($B$5*(1+$B28))*$B$8-$B$9-(($B$12+0/2)*($B$10+F$26))),0)*$B$11)+$B$9+(($B$12+0/2)*($B$10+F$26)))/((($B$12+0/2)*($B$10+F$26))+$B$13)</f>
        <v>1.03362831526371</v>
      </c>
      <c r="G28" s="42" t="n">
        <f aca="false">(((($B$5*(1+$B28))*$B$7+($B$5*(1+$B28))*$B$8-$B$9-(($B$12+0/2)*($B$10+G$26)))-MAX((($B$5*(1+$B28))*$B$7+($B$5*(1+$B28))*$B$8-$B$9-(($B$12+0/2)*($B$10+G$26))),0)*$B$11)+$B$9+(($B$12+0/2)*($B$10+G$26)))/((($B$12+0/2)*($B$10+G$26))+$B$13)</f>
        <v>1.01363438447038</v>
      </c>
      <c r="H28" s="42" t="n">
        <f aca="false">(((($B$5*(1+$B28))*$B$7+($B$5*(1+$B28))*$B$8-$B$9-(($B$12+0/2)*($B$10+H$26)))-MAX((($B$5*(1+$B28))*$B$7+($B$5*(1+$B28))*$B$8-$B$9-(($B$12+0/2)*($B$10+H$26))),0)*$B$11)+$B$9+(($B$12+0/2)*($B$10+H$26)))/((($B$12+0/2)*($B$10+H$26))+$B$13)</f>
        <v>0.976746953928451</v>
      </c>
    </row>
    <row r="29" customFormat="false" ht="15" hidden="false" customHeight="false" outlineLevel="0" collapsed="false">
      <c r="A29" s="40" t="n">
        <v>-0.1</v>
      </c>
      <c r="B29" s="41" t="n">
        <f aca="false">$B$6+A29</f>
        <v>-0.02</v>
      </c>
      <c r="C29" s="42" t="n">
        <f aca="false">(((($B$5*(1+$B29))*$B$7+($B$5*(1+$B29))*$B$8-$B$9-(($B$12+0/2)*($B$10+C$26)))-MAX((($B$5*(1+$B29))*$B$7+($B$5*(1+$B29))*$B$8-$B$9-(($B$12+0/2)*($B$10+C$26))),0)*$B$11)+$B$9+(($B$12+0/2)*($B$10+C$26)))/((($B$12+0/2)*($B$10+C$26))+$B$13)</f>
        <v>1.14705704736011</v>
      </c>
      <c r="D29" s="42" t="n">
        <f aca="false">(((($B$5*(1+$B29))*$B$7+($B$5*(1+$B29))*$B$8-$B$9-(($B$12+0/2)*($B$10+D$26)))-MAX((($B$5*(1+$B29))*$B$7+($B$5*(1+$B29))*$B$8-$B$9-(($B$12+0/2)*($B$10+D$26))),0)*$B$11)+$B$9+(($B$12+0/2)*($B$10+D$26)))/((($B$12+0/2)*($B$10+D$26))+$B$13)</f>
        <v>1.12191626594492</v>
      </c>
      <c r="E29" s="42" t="n">
        <f aca="false">(((($B$5*(1+$B29))*$B$7+($B$5*(1+$B29))*$B$8-$B$9-(($B$12+0/2)*($B$10+E$26)))-MAX((($B$5*(1+$B29))*$B$7+($B$5*(1+$B29))*$B$8-$B$9-(($B$12+0/2)*($B$10+E$26))),0)*$B$11)+$B$9+(($B$12+0/2)*($B$10+E$26)))/((($B$12+0/2)*($B$10+E$26))+$B$13)</f>
        <v>1.09822483207295</v>
      </c>
      <c r="F29" s="42" t="n">
        <f aca="false">(((($B$5*(1+$B29))*$B$7+($B$5*(1+$B29))*$B$8-$B$9-(($B$12+0/2)*($B$10+F$26)))-MAX((($B$5*(1+$B29))*$B$7+($B$5*(1+$B29))*$B$8-$B$9-(($B$12+0/2)*($B$10+F$26))),0)*$B$11)+$B$9+(($B$12+0/2)*($B$10+F$26)))/((($B$12+0/2)*($B$10+F$26))+$B$13)</f>
        <v>1.07586092641301</v>
      </c>
      <c r="G29" s="42" t="n">
        <f aca="false">(((($B$5*(1+$B29))*$B$7+($B$5*(1+$B29))*$B$8-$B$9-(($B$12+0/2)*($B$10+G$26)))-MAX((($B$5*(1+$B29))*$B$7+($B$5*(1+$B29))*$B$8-$B$9-(($B$12+0/2)*($B$10+G$26))),0)*$B$11)+$B$9+(($B$12+0/2)*($B$10+G$26)))/((($B$12+0/2)*($B$10+G$26))+$B$13)</f>
        <v>1.05471600964085</v>
      </c>
      <c r="H29" s="42" t="n">
        <f aca="false">(((($B$5*(1+$B29))*$B$7+($B$5*(1+$B29))*$B$8-$B$9-(($B$12+0/2)*($B$10+H$26)))-MAX((($B$5*(1+$B29))*$B$7+($B$5*(1+$B29))*$B$8-$B$9-(($B$12+0/2)*($B$10+H$26))),0)*$B$11)+$B$9+(($B$12+0/2)*($B$10+H$26)))/((($B$12+0/2)*($B$10+H$26))+$B$13)</f>
        <v>1.01570508893644</v>
      </c>
    </row>
    <row r="30" customFormat="false" ht="15" hidden="false" customHeight="false" outlineLevel="0" collapsed="false">
      <c r="A30" s="40" t="n">
        <v>-0.05</v>
      </c>
      <c r="B30" s="41" t="n">
        <f aca="false">$B$6+A30</f>
        <v>0.03</v>
      </c>
      <c r="C30" s="42" t="n">
        <f aca="false">(((($B$5*(1+$B30))*$B$7+($B$5*(1+$B30))*$B$8-$B$9-(($B$12+0/2)*($B$10+C$26)))-MAX((($B$5*(1+$B30))*$B$7+($B$5*(1+$B30))*$B$8-$B$9-(($B$12+0/2)*($B$10+C$26))),0)*$B$11)+$B$9+(($B$12+0/2)*($B$10+C$26)))/((($B$12+0/2)*($B$10+C$26))+$B$13)</f>
        <v>1.19316509286746</v>
      </c>
      <c r="D30" s="42" t="n">
        <f aca="false">(((($B$5*(1+$B30))*$B$7+($B$5*(1+$B30))*$B$8-$B$9-(($B$12+0/2)*($B$10+D$26)))-MAX((($B$5*(1+$B30))*$B$7+($B$5*(1+$B30))*$B$8-$B$9-(($B$12+0/2)*($B$10+D$26))),0)*$B$11)+$B$9+(($B$12+0/2)*($B$10+D$26)))/((($B$12+0/2)*($B$10+D$26))+$B$13)</f>
        <v>1.16665581768058</v>
      </c>
      <c r="E30" s="42" t="n">
        <f aca="false">(((($B$5*(1+$B30))*$B$7+($B$5*(1+$B30))*$B$8-$B$9-(($B$12+0/2)*($B$10+E$26)))-MAX((($B$5*(1+$B30))*$B$7+($B$5*(1+$B30))*$B$8-$B$9-(($B$12+0/2)*($B$10+E$26))),0)*$B$11)+$B$9+(($B$12+0/2)*($B$10+E$26)))/((($B$12+0/2)*($B$10+E$26))+$B$13)</f>
        <v>1.14167478269555</v>
      </c>
      <c r="F30" s="42" t="n">
        <f aca="false">(((($B$5*(1+$B30))*$B$7+($B$5*(1+$B30))*$B$8-$B$9-(($B$12+0/2)*($B$10+F$26)))-MAX((($B$5*(1+$B30))*$B$7+($B$5*(1+$B30))*$B$8-$B$9-(($B$12+0/2)*($B$10+F$26))),0)*$B$11)+$B$9+(($B$12+0/2)*($B$10+F$26)))/((($B$12+0/2)*($B$10+F$26))+$B$13)</f>
        <v>1.1180935375623</v>
      </c>
      <c r="G30" s="42" t="n">
        <f aca="false">(((($B$5*(1+$B30))*$B$7+($B$5*(1+$B30))*$B$8-$B$9-(($B$12+0/2)*($B$10+G$26)))-MAX((($B$5*(1+$B30))*$B$7+($B$5*(1+$B30))*$B$8-$B$9-(($B$12+0/2)*($B$10+G$26))),0)*$B$11)+$B$9+(($B$12+0/2)*($B$10+G$26)))/((($B$12+0/2)*($B$10+G$26))+$B$13)</f>
        <v>1.09579763481132</v>
      </c>
      <c r="H30" s="42" t="n">
        <f aca="false">(((($B$5*(1+$B30))*$B$7+($B$5*(1+$B30))*$B$8-$B$9-(($B$12+0/2)*($B$10+H$26)))-MAX((($B$5*(1+$B30))*$B$7+($B$5*(1+$B30))*$B$8-$B$9-(($B$12+0/2)*($B$10+H$26))),0)*$B$11)+$B$9+(($B$12+0/2)*($B$10+H$26)))/((($B$12+0/2)*($B$10+H$26))+$B$13)</f>
        <v>1.05466322394444</v>
      </c>
    </row>
    <row r="31" customFormat="false" ht="15" hidden="false" customHeight="false" outlineLevel="0" collapsed="false">
      <c r="A31" s="40" t="n">
        <v>0</v>
      </c>
      <c r="B31" s="41" t="n">
        <f aca="false">$B$6+A31</f>
        <v>0.08</v>
      </c>
      <c r="C31" s="42" t="n">
        <f aca="false">(((($B$5*(1+$B31))*$B$7+($B$5*(1+$B31))*$B$8-$B$9-(($B$12+0/2)*($B$10+C$26)))-MAX((($B$5*(1+$B31))*$B$7+($B$5*(1+$B31))*$B$8-$B$9-(($B$12+0/2)*($B$10+C$26))),0)*$B$11)+$B$9+(($B$12+0/2)*($B$10+C$26)))/((($B$12+0/2)*($B$10+C$26))+$B$13)</f>
        <v>1.23927313837482</v>
      </c>
      <c r="D31" s="42" t="n">
        <f aca="false">(((($B$5*(1+$B31))*$B$7+($B$5*(1+$B31))*$B$8-$B$9-(($B$12+0/2)*($B$10+D$26)))-MAX((($B$5*(1+$B31))*$B$7+($B$5*(1+$B31))*$B$8-$B$9-(($B$12+0/2)*($B$10+D$26))),0)*$B$11)+$B$9+(($B$12+0/2)*($B$10+D$26)))/((($B$12+0/2)*($B$10+D$26))+$B$13)</f>
        <v>1.21139536941624</v>
      </c>
      <c r="E31" s="42" t="n">
        <f aca="false">(((($B$5*(1+$B31))*$B$7+($B$5*(1+$B31))*$B$8-$B$9-(($B$12+0/2)*($B$10+E$26)))-MAX((($B$5*(1+$B31))*$B$7+($B$5*(1+$B31))*$B$8-$B$9-(($B$12+0/2)*($B$10+E$26))),0)*$B$11)+$B$9+(($B$12+0/2)*($B$10+E$26)))/((($B$12+0/2)*($B$10+E$26))+$B$13)</f>
        <v>1.18512473331814</v>
      </c>
      <c r="F31" s="42" t="n">
        <f aca="false">(((($B$5*(1+$B31))*$B$7+($B$5*(1+$B31))*$B$8-$B$9-(($B$12+0/2)*($B$10+F$26)))-MAX((($B$5*(1+$B31))*$B$7+($B$5*(1+$B31))*$B$8-$B$9-(($B$12+0/2)*($B$10+F$26))),0)*$B$11)+$B$9+(($B$12+0/2)*($B$10+F$26)))/((($B$12+0/2)*($B$10+F$26))+$B$13)</f>
        <v>1.1603261487116</v>
      </c>
      <c r="G31" s="42" t="n">
        <f aca="false">(((($B$5*(1+$B31))*$B$7+($B$5*(1+$B31))*$B$8-$B$9-(($B$12+0/2)*($B$10+G$26)))-MAX((($B$5*(1+$B31))*$B$7+($B$5*(1+$B31))*$B$8-$B$9-(($B$12+0/2)*($B$10+G$26))),0)*$B$11)+$B$9+(($B$12+0/2)*($B$10+G$26)))/((($B$12+0/2)*($B$10+G$26))+$B$13)</f>
        <v>1.13687925998178</v>
      </c>
      <c r="H31" s="42" t="n">
        <f aca="false">(((($B$5*(1+$B31))*$B$7+($B$5*(1+$B31))*$B$8-$B$9-(($B$12+0/2)*($B$10+H$26)))-MAX((($B$5*(1+$B31))*$B$7+($B$5*(1+$B31))*$B$8-$B$9-(($B$12+0/2)*($B$10+H$26))),0)*$B$11)+$B$9+(($B$12+0/2)*($B$10+H$26)))/((($B$12+0/2)*($B$10+H$26))+$B$13)</f>
        <v>1.09362135895243</v>
      </c>
    </row>
    <row r="32" customFormat="false" ht="15" hidden="false" customHeight="false" outlineLevel="0" collapsed="false">
      <c r="A32" s="40" t="n">
        <v>0.05</v>
      </c>
      <c r="B32" s="41" t="n">
        <f aca="false">$B$6+A32</f>
        <v>0.13</v>
      </c>
      <c r="C32" s="42" t="n">
        <f aca="false">(((($B$5*(1+$B32))*$B$7+($B$5*(1+$B32))*$B$8-$B$9-(($B$12+0/2)*($B$10+C$26)))-MAX((($B$5*(1+$B32))*$B$7+($B$5*(1+$B32))*$B$8-$B$9-(($B$12+0/2)*($B$10+C$26))),0)*$B$11)+$B$9+(($B$12+0/2)*($B$10+C$26)))/((($B$12+0/2)*($B$10+C$26))+$B$13)</f>
        <v>1.28538118388217</v>
      </c>
      <c r="D32" s="42" t="n">
        <f aca="false">(((($B$5*(1+$B32))*$B$7+($B$5*(1+$B32))*$B$8-$B$9-(($B$12+0/2)*($B$10+D$26)))-MAX((($B$5*(1+$B32))*$B$7+($B$5*(1+$B32))*$B$8-$B$9-(($B$12+0/2)*($B$10+D$26))),0)*$B$11)+$B$9+(($B$12+0/2)*($B$10+D$26)))/((($B$12+0/2)*($B$10+D$26))+$B$13)</f>
        <v>1.2561349211519</v>
      </c>
      <c r="E32" s="42" t="n">
        <f aca="false">(((($B$5*(1+$B32))*$B$7+($B$5*(1+$B32))*$B$8-$B$9-(($B$12+0/2)*($B$10+E$26)))-MAX((($B$5*(1+$B32))*$B$7+($B$5*(1+$B32))*$B$8-$B$9-(($B$12+0/2)*($B$10+E$26))),0)*$B$11)+$B$9+(($B$12+0/2)*($B$10+E$26)))/((($B$12+0/2)*($B$10+E$26))+$B$13)</f>
        <v>1.22857468394074</v>
      </c>
      <c r="F32" s="42" t="n">
        <f aca="false">(((($B$5*(1+$B32))*$B$7+($B$5*(1+$B32))*$B$8-$B$9-(($B$12+0/2)*($B$10+F$26)))-MAX((($B$5*(1+$B32))*$B$7+($B$5*(1+$B32))*$B$8-$B$9-(($B$12+0/2)*($B$10+F$26))),0)*$B$11)+$B$9+(($B$12+0/2)*($B$10+F$26)))/((($B$12+0/2)*($B$10+F$26))+$B$13)</f>
        <v>1.2025587598609</v>
      </c>
      <c r="G32" s="42" t="n">
        <f aca="false">(((($B$5*(1+$B32))*$B$7+($B$5*(1+$B32))*$B$8-$B$9-(($B$12+0/2)*($B$10+G$26)))-MAX((($B$5*(1+$B32))*$B$7+($B$5*(1+$B32))*$B$8-$B$9-(($B$12+0/2)*($B$10+G$26))),0)*$B$11)+$B$9+(($B$12+0/2)*($B$10+G$26)))/((($B$12+0/2)*($B$10+G$26))+$B$13)</f>
        <v>1.17796088515225</v>
      </c>
      <c r="H32" s="42" t="n">
        <f aca="false">(((($B$5*(1+$B32))*$B$7+($B$5*(1+$B32))*$B$8-$B$9-(($B$12+0/2)*($B$10+H$26)))-MAX((($B$5*(1+$B32))*$B$7+($B$5*(1+$B32))*$B$8-$B$9-(($B$12+0/2)*($B$10+H$26))),0)*$B$11)+$B$9+(($B$12+0/2)*($B$10+H$26)))/((($B$12+0/2)*($B$10+H$26))+$B$13)</f>
        <v>1.13257949396043</v>
      </c>
    </row>
    <row r="33" customFormat="false" ht="15" hidden="false" customHeight="false" outlineLevel="0" collapsed="false">
      <c r="A33" s="40" t="n">
        <v>0.1</v>
      </c>
      <c r="B33" s="41" t="n">
        <f aca="false">$B$6+A33</f>
        <v>0.18</v>
      </c>
      <c r="C33" s="42" t="n">
        <f aca="false">(((($B$5*(1+$B33))*$B$7+($B$5*(1+$B33))*$B$8-$B$9-(($B$12+0/2)*($B$10+C$26)))-MAX((($B$5*(1+$B33))*$B$7+($B$5*(1+$B33))*$B$8-$B$9-(($B$12+0/2)*($B$10+C$26))),0)*$B$11)+$B$9+(($B$12+0/2)*($B$10+C$26)))/((($B$12+0/2)*($B$10+C$26))+$B$13)</f>
        <v>1.33148922938953</v>
      </c>
      <c r="D33" s="42" t="n">
        <f aca="false">(((($B$5*(1+$B33))*$B$7+($B$5*(1+$B33))*$B$8-$B$9-(($B$12+0/2)*($B$10+D$26)))-MAX((($B$5*(1+$B33))*$B$7+($B$5*(1+$B33))*$B$8-$B$9-(($B$12+0/2)*($B$10+D$26))),0)*$B$11)+$B$9+(($B$12+0/2)*($B$10+D$26)))/((($B$12+0/2)*($B$10+D$26))+$B$13)</f>
        <v>1.30087447288757</v>
      </c>
      <c r="E33" s="42" t="n">
        <f aca="false">(((($B$5*(1+$B33))*$B$7+($B$5*(1+$B33))*$B$8-$B$9-(($B$12+0/2)*($B$10+E$26)))-MAX((($B$5*(1+$B33))*$B$7+($B$5*(1+$B33))*$B$8-$B$9-(($B$12+0/2)*($B$10+E$26))),0)*$B$11)+$B$9+(($B$12+0/2)*($B$10+E$26)))/((($B$12+0/2)*($B$10+E$26))+$B$13)</f>
        <v>1.27202463456334</v>
      </c>
      <c r="F33" s="42" t="n">
        <f aca="false">(((($B$5*(1+$B33))*$B$7+($B$5*(1+$B33))*$B$8-$B$9-(($B$12+0/2)*($B$10+F$26)))-MAX((($B$5*(1+$B33))*$B$7+($B$5*(1+$B33))*$B$8-$B$9-(($B$12+0/2)*($B$10+F$26))),0)*$B$11)+$B$9+(($B$12+0/2)*($B$10+F$26)))/((($B$12+0/2)*($B$10+F$26))+$B$13)</f>
        <v>1.24479137101019</v>
      </c>
      <c r="G33" s="42" t="n">
        <f aca="false">(((($B$5*(1+$B33))*$B$7+($B$5*(1+$B33))*$B$8-$B$9-(($B$12+0/2)*($B$10+G$26)))-MAX((($B$5*(1+$B33))*$B$7+($B$5*(1+$B33))*$B$8-$B$9-(($B$12+0/2)*($B$10+G$26))),0)*$B$11)+$B$9+(($B$12+0/2)*($B$10+G$26)))/((($B$12+0/2)*($B$10+G$26))+$B$13)</f>
        <v>1.21904251032272</v>
      </c>
      <c r="H33" s="42" t="n">
        <f aca="false">(((($B$5*(1+$B33))*$B$7+($B$5*(1+$B33))*$B$8-$B$9-(($B$12+0/2)*($B$10+H$26)))-MAX((($B$5*(1+$B33))*$B$7+($B$5*(1+$B33))*$B$8-$B$9-(($B$12+0/2)*($B$10+H$26))),0)*$B$11)+$B$9+(($B$12+0/2)*($B$10+H$26)))/((($B$12+0/2)*($B$10+H$26))+$B$13)</f>
        <v>1.17153762896842</v>
      </c>
    </row>
    <row r="36" customFormat="false" ht="15" hidden="false" customHeight="false" outlineLevel="0" collapsed="false">
      <c r="A36" s="3" t="s">
        <v>298</v>
      </c>
      <c r="B36" s="4"/>
      <c r="C36" s="4"/>
      <c r="D36" s="4"/>
      <c r="E36" s="4"/>
      <c r="F36" s="4"/>
      <c r="G36" s="4"/>
      <c r="H36" s="4"/>
    </row>
    <row r="37" customFormat="false" ht="15" hidden="false" customHeight="false" outlineLevel="0" collapsed="false">
      <c r="A37" s="2" t="s">
        <v>299</v>
      </c>
      <c r="B37" s="39" t="s">
        <v>296</v>
      </c>
      <c r="C37" s="40" t="n">
        <v>-0.15</v>
      </c>
      <c r="D37" s="40" t="n">
        <v>-0.1</v>
      </c>
      <c r="E37" s="40" t="n">
        <v>-0.05</v>
      </c>
      <c r="F37" s="40" t="n">
        <v>0</v>
      </c>
      <c r="G37" s="40" t="n">
        <v>0.05</v>
      </c>
      <c r="H37" s="40" t="n">
        <v>0.1</v>
      </c>
    </row>
    <row r="38" customFormat="false" ht="15" hidden="false" customHeight="false" outlineLevel="0" collapsed="false">
      <c r="B38" s="39" t="s">
        <v>297</v>
      </c>
      <c r="C38" s="41" t="n">
        <f aca="false">$B$6+C37</f>
        <v>-0.07</v>
      </c>
      <c r="D38" s="41" t="n">
        <f aca="false">$B$6+D37</f>
        <v>-0.02</v>
      </c>
      <c r="E38" s="41" t="n">
        <f aca="false">$B$6+E37</f>
        <v>0.03</v>
      </c>
      <c r="F38" s="41" t="n">
        <f aca="false">$B$6+F37</f>
        <v>0.08</v>
      </c>
      <c r="G38" s="41" t="n">
        <f aca="false">$B$6+G37</f>
        <v>0.13</v>
      </c>
      <c r="H38" s="41" t="n">
        <f aca="false">$B$6+H37</f>
        <v>0.18</v>
      </c>
    </row>
    <row r="39" customFormat="false" ht="15" hidden="false" customHeight="false" outlineLevel="0" collapsed="false">
      <c r="A39" s="40" t="n">
        <v>-0.1</v>
      </c>
      <c r="B39" s="41" t="n">
        <f aca="false">$B$7+A39</f>
        <v>0.42</v>
      </c>
      <c r="C39" s="42" t="n">
        <f aca="false">(((($B$5*(1+C$38))*$B39+($B$5*(1+C$38))*$B$8-$B$9-(($B$12+0/2)*($B$10+0)))-MAX((($B$5*(1+C$38))*$B39+($B$5*(1+C$38))*$B$8-$B$9-(($B$12+0/2)*($B$10+0))),0)*$B$11)+$B$9+(($B$12+0/2)*($B$10+0)))/((($B$12+0/2)*($B$10+0))+$B$13)</f>
        <v>0.907029162697089</v>
      </c>
      <c r="D39" s="42" t="n">
        <f aca="false">(((($B$5*(1+D$38))*$B39+($B$5*(1+D$38))*$B$8-$B$9-(($B$12+0/2)*($B$10+0)))-MAX((($B$5*(1+D$38))*$B39+($B$5*(1+D$38))*$B$8-$B$9-(($B$12+0/2)*($B$10+0))),0)*$B$11)+$B$9+(($B$12+0/2)*($B$10+0)))/((($B$12+0/2)*($B$10+0))+$B$13)</f>
        <v>0.942535795107146</v>
      </c>
      <c r="E39" s="42" t="n">
        <f aca="false">(((($B$5*(1+E$38))*$B39+($B$5*(1+E$38))*$B$8-$B$9-(($B$12+0/2)*($B$10+0)))-MAX((($B$5*(1+E$38))*$B39+($B$5*(1+E$38))*$B$8-$B$9-(($B$12+0/2)*($B$10+0))),0)*$B$11)+$B$9+(($B$12+0/2)*($B$10+0)))/((($B$12+0/2)*($B$10+0))+$B$13)</f>
        <v>0.978042427517204</v>
      </c>
      <c r="F39" s="42" t="n">
        <f aca="false">(((($B$5*(1+F$38))*$B39+($B$5*(1+F$38))*$B$8-$B$9-(($B$12+0/2)*($B$10+0)))-MAX((($B$5*(1+F$38))*$B39+($B$5*(1+F$38))*$B$8-$B$9-(($B$12+0/2)*($B$10+0))),0)*$B$11)+$B$9+(($B$12+0/2)*($B$10+0)))/((($B$12+0/2)*($B$10+0))+$B$13)</f>
        <v>1.01354905992726</v>
      </c>
      <c r="G39" s="42" t="n">
        <f aca="false">(((($B$5*(1+G$38))*$B39+($B$5*(1+G$38))*$B$8-$B$9-(($B$12+0/2)*($B$10+0)))-MAX((($B$5*(1+G$38))*$B39+($B$5*(1+G$38))*$B$8-$B$9-(($B$12+0/2)*($B$10+0))),0)*$B$11)+$B$9+(($B$12+0/2)*($B$10+0)))/((($B$12+0/2)*($B$10+0))+$B$13)</f>
        <v>1.04905569233732</v>
      </c>
      <c r="H39" s="42" t="n">
        <f aca="false">(((($B$5*(1+H$38))*$B39+($B$5*(1+H$38))*$B$8-$B$9-(($B$12+0/2)*($B$10+0)))-MAX((($B$5*(1+H$38))*$B39+($B$5*(1+H$38))*$B$8-$B$9-(($B$12+0/2)*($B$10+0))),0)*$B$11)+$B$9+(($B$12+0/2)*($B$10+0)))/((($B$12+0/2)*($B$10+0))+$B$13)</f>
        <v>1.08456232474738</v>
      </c>
    </row>
    <row r="40" customFormat="false" ht="15" hidden="false" customHeight="false" outlineLevel="0" collapsed="false">
      <c r="A40" s="40" t="n">
        <v>-0.05</v>
      </c>
      <c r="B40" s="41" t="n">
        <f aca="false">$B$7+A40</f>
        <v>0.47</v>
      </c>
      <c r="C40" s="42" t="n">
        <f aca="false">(((($B$5*(1+C$38))*$B40+($B$5*(1+C$38))*$B$8-$B$9-(($B$12+0/2)*($B$10+0)))-MAX((($B$5*(1+C$38))*$B40+($B$5*(1+C$38))*$B$8-$B$9-(($B$12+0/2)*($B$10+0))),0)*$B$11)+$B$9+(($B$12+0/2)*($B$10+0)))/((($B$12+0/2)*($B$10+0))+$B$13)</f>
        <v>0.980902022073719</v>
      </c>
      <c r="D40" s="42" t="n">
        <f aca="false">(((($B$5*(1+D$38))*$B40+($B$5*(1+D$38))*$B$8-$B$9-(($B$12+0/2)*($B$10+0)))-MAX((($B$5*(1+D$38))*$B40+($B$5*(1+D$38))*$B$8-$B$9-(($B$12+0/2)*($B$10+0))),0)*$B$11)+$B$9+(($B$12+0/2)*($B$10+0)))/((($B$12+0/2)*($B$10+0))+$B$13)</f>
        <v>1.02038031359005</v>
      </c>
      <c r="E40" s="42" t="n">
        <f aca="false">(((($B$5*(1+E$38))*$B40+($B$5*(1+E$38))*$B$8-$B$9-(($B$12+0/2)*($B$10+0)))-MAX((($B$5*(1+E$38))*$B40+($B$5*(1+E$38))*$B$8-$B$9-(($B$12+0/2)*($B$10+0))),0)*$B$11)+$B$9+(($B$12+0/2)*($B$10+0)))/((($B$12+0/2)*($B$10+0))+$B$13)</f>
        <v>1.05985860510637</v>
      </c>
      <c r="F40" s="42" t="n">
        <f aca="false">(((($B$5*(1+F$38))*$B40+($B$5*(1+F$38))*$B$8-$B$9-(($B$12+0/2)*($B$10+0)))-MAX((($B$5*(1+F$38))*$B40+($B$5*(1+F$38))*$B$8-$B$9-(($B$12+0/2)*($B$10+0))),0)*$B$11)+$B$9+(($B$12+0/2)*($B$10+0)))/((($B$12+0/2)*($B$10+0))+$B$13)</f>
        <v>1.0993368966227</v>
      </c>
      <c r="G40" s="42" t="n">
        <f aca="false">(((($B$5*(1+G$38))*$B40+($B$5*(1+G$38))*$B$8-$B$9-(($B$12+0/2)*($B$10+0)))-MAX((($B$5*(1+G$38))*$B40+($B$5*(1+G$38))*$B$8-$B$9-(($B$12+0/2)*($B$10+0))),0)*$B$11)+$B$9+(($B$12+0/2)*($B$10+0)))/((($B$12+0/2)*($B$10+0))+$B$13)</f>
        <v>1.13881518813903</v>
      </c>
      <c r="H40" s="42" t="n">
        <f aca="false">(((($B$5*(1+H$38))*$B40+($B$5*(1+H$38))*$B$8-$B$9-(($B$12+0/2)*($B$10+0)))-MAX((($B$5*(1+H$38))*$B40+($B$5*(1+H$38))*$B$8-$B$9-(($B$12+0/2)*($B$10+0))),0)*$B$11)+$B$9+(($B$12+0/2)*($B$10+0)))/((($B$12+0/2)*($B$10+0))+$B$13)</f>
        <v>1.17829347965536</v>
      </c>
    </row>
    <row r="41" customFormat="false" ht="15" hidden="false" customHeight="false" outlineLevel="0" collapsed="false">
      <c r="A41" s="40" t="n">
        <v>-0.025</v>
      </c>
      <c r="B41" s="41" t="n">
        <f aca="false">$B$7+A41</f>
        <v>0.495</v>
      </c>
      <c r="C41" s="42" t="n">
        <f aca="false">(((($B$5*(1+C$38))*$B41+($B$5*(1+C$38))*$B$8-$B$9-(($B$12+0/2)*($B$10+0)))-MAX((($B$5*(1+C$38))*$B41+($B$5*(1+C$38))*$B$8-$B$9-(($B$12+0/2)*($B$10+0))),0)*$B$11)+$B$9+(($B$12+0/2)*($B$10+0)))/((($B$12+0/2)*($B$10+0))+$B$13)</f>
        <v>1.01783845176203</v>
      </c>
      <c r="D41" s="42" t="n">
        <f aca="false">(((($B$5*(1+D$38))*$B41+($B$5*(1+D$38))*$B$8-$B$9-(($B$12+0/2)*($B$10+0)))-MAX((($B$5*(1+D$38))*$B41+($B$5*(1+D$38))*$B$8-$B$9-(($B$12+0/2)*($B$10+0))),0)*$B$11)+$B$9+(($B$12+0/2)*($B$10+0)))/((($B$12+0/2)*($B$10+0))+$B$13)</f>
        <v>1.0593025728315</v>
      </c>
      <c r="E41" s="42" t="n">
        <f aca="false">(((($B$5*(1+E$38))*$B41+($B$5*(1+E$38))*$B$8-$B$9-(($B$12+0/2)*($B$10+0)))-MAX((($B$5*(1+E$38))*$B41+($B$5*(1+E$38))*$B$8-$B$9-(($B$12+0/2)*($B$10+0))),0)*$B$11)+$B$9+(($B$12+0/2)*($B$10+0)))/((($B$12+0/2)*($B$10+0))+$B$13)</f>
        <v>1.10076669390096</v>
      </c>
      <c r="F41" s="42" t="n">
        <f aca="false">(((($B$5*(1+F$38))*$B41+($B$5*(1+F$38))*$B$8-$B$9-(($B$12+0/2)*($B$10+0)))-MAX((($B$5*(1+F$38))*$B41+($B$5*(1+F$38))*$B$8-$B$9-(($B$12+0/2)*($B$10+0))),0)*$B$11)+$B$9+(($B$12+0/2)*($B$10+0)))/((($B$12+0/2)*($B$10+0))+$B$13)</f>
        <v>1.14223081497042</v>
      </c>
      <c r="G41" s="42" t="n">
        <f aca="false">(((($B$5*(1+G$38))*$B41+($B$5*(1+G$38))*$B$8-$B$9-(($B$12+0/2)*($B$10+0)))-MAX((($B$5*(1+G$38))*$B41+($B$5*(1+G$38))*$B$8-$B$9-(($B$12+0/2)*($B$10+0))),0)*$B$11)+$B$9+(($B$12+0/2)*($B$10+0)))/((($B$12+0/2)*($B$10+0))+$B$13)</f>
        <v>1.18369493603989</v>
      </c>
      <c r="H41" s="42" t="n">
        <f aca="false">(((($B$5*(1+H$38))*$B41+($B$5*(1+H$38))*$B$8-$B$9-(($B$12+0/2)*($B$10+0)))-MAX((($B$5*(1+H$38))*$B41+($B$5*(1+H$38))*$B$8-$B$9-(($B$12+0/2)*($B$10+0))),0)*$B$11)+$B$9+(($B$12+0/2)*($B$10+0)))/((($B$12+0/2)*($B$10+0))+$B$13)</f>
        <v>1.22515905710935</v>
      </c>
    </row>
    <row r="42" customFormat="false" ht="15" hidden="false" customHeight="false" outlineLevel="0" collapsed="false">
      <c r="A42" s="40" t="n">
        <v>0</v>
      </c>
      <c r="B42" s="41" t="n">
        <f aca="false">$B$7+A42</f>
        <v>0.52</v>
      </c>
      <c r="C42" s="42" t="n">
        <f aca="false">(((($B$5*(1+C$38))*$B42+($B$5*(1+C$38))*$B$8-$B$9-(($B$12+0/2)*($B$10+0)))-MAX((($B$5*(1+C$38))*$B42+($B$5*(1+C$38))*$B$8-$B$9-(($B$12+0/2)*($B$10+0))),0)*$B$11)+$B$9+(($B$12+0/2)*($B$10+0)))/((($B$12+0/2)*($B$10+0))+$B$13)</f>
        <v>1.05477488145035</v>
      </c>
      <c r="D42" s="42" t="n">
        <f aca="false">(((($B$5*(1+D$38))*$B42+($B$5*(1+D$38))*$B$8-$B$9-(($B$12+0/2)*($B$10+0)))-MAX((($B$5*(1+D$38))*$B42+($B$5*(1+D$38))*$B$8-$B$9-(($B$12+0/2)*($B$10+0))),0)*$B$11)+$B$9+(($B$12+0/2)*($B$10+0)))/((($B$12+0/2)*($B$10+0))+$B$13)</f>
        <v>1.09822483207295</v>
      </c>
      <c r="E42" s="42" t="n">
        <f aca="false">(((($B$5*(1+E$38))*$B42+($B$5*(1+E$38))*$B$8-$B$9-(($B$12+0/2)*($B$10+0)))-MAX((($B$5*(1+E$38))*$B42+($B$5*(1+E$38))*$B$8-$B$9-(($B$12+0/2)*($B$10+0))),0)*$B$11)+$B$9+(($B$12+0/2)*($B$10+0)))/((($B$12+0/2)*($B$10+0))+$B$13)</f>
        <v>1.14167478269555</v>
      </c>
      <c r="F42" s="42" t="n">
        <f aca="false">(((($B$5*(1+F$38))*$B42+($B$5*(1+F$38))*$B$8-$B$9-(($B$12+0/2)*($B$10+0)))-MAX((($B$5*(1+F$38))*$B42+($B$5*(1+F$38))*$B$8-$B$9-(($B$12+0/2)*($B$10+0))),0)*$B$11)+$B$9+(($B$12+0/2)*($B$10+0)))/((($B$12+0/2)*($B$10+0))+$B$13)</f>
        <v>1.18512473331814</v>
      </c>
      <c r="G42" s="42" t="n">
        <f aca="false">(((($B$5*(1+G$38))*$B42+($B$5*(1+G$38))*$B$8-$B$9-(($B$12+0/2)*($B$10+0)))-MAX((($B$5*(1+G$38))*$B42+($B$5*(1+G$38))*$B$8-$B$9-(($B$12+0/2)*($B$10+0))),0)*$B$11)+$B$9+(($B$12+0/2)*($B$10+0)))/((($B$12+0/2)*($B$10+0))+$B$13)</f>
        <v>1.22857468394074</v>
      </c>
      <c r="H42" s="42" t="n">
        <f aca="false">(((($B$5*(1+H$38))*$B42+($B$5*(1+H$38))*$B$8-$B$9-(($B$12+0/2)*($B$10+0)))-MAX((($B$5*(1+H$38))*$B42+($B$5*(1+H$38))*$B$8-$B$9-(($B$12+0/2)*($B$10+0))),0)*$B$11)+$B$9+(($B$12+0/2)*($B$10+0)))/((($B$12+0/2)*($B$10+0))+$B$13)</f>
        <v>1.27202463456334</v>
      </c>
    </row>
    <row r="43" customFormat="false" ht="15" hidden="false" customHeight="false" outlineLevel="0" collapsed="false">
      <c r="A43" s="40" t="n">
        <v>0.025</v>
      </c>
      <c r="B43" s="41" t="n">
        <f aca="false">$B$7+A43</f>
        <v>0.545</v>
      </c>
      <c r="C43" s="42" t="n">
        <f aca="false">(((($B$5*(1+C$38))*$B43+($B$5*(1+C$38))*$B$8-$B$9-(($B$12+0/2)*($B$10+0)))-MAX((($B$5*(1+C$38))*$B43+($B$5*(1+C$38))*$B$8-$B$9-(($B$12+0/2)*($B$10+0))),0)*$B$11)+$B$9+(($B$12+0/2)*($B$10+0)))/((($B$12+0/2)*($B$10+0))+$B$13)</f>
        <v>1.09171131113866</v>
      </c>
      <c r="D43" s="42" t="n">
        <f aca="false">(((($B$5*(1+D$38))*$B43+($B$5*(1+D$38))*$B$8-$B$9-(($B$12+0/2)*($B$10+0)))-MAX((($B$5*(1+D$38))*$B43+($B$5*(1+D$38))*$B$8-$B$9-(($B$12+0/2)*($B$10+0))),0)*$B$11)+$B$9+(($B$12+0/2)*($B$10+0)))/((($B$12+0/2)*($B$10+0))+$B$13)</f>
        <v>1.1371470913144</v>
      </c>
      <c r="E43" s="42" t="n">
        <f aca="false">(((($B$5*(1+E$38))*$B43+($B$5*(1+E$38))*$B$8-$B$9-(($B$12+0/2)*($B$10+0)))-MAX((($B$5*(1+E$38))*$B43+($B$5*(1+E$38))*$B$8-$B$9-(($B$12+0/2)*($B$10+0))),0)*$B$11)+$B$9+(($B$12+0/2)*($B$10+0)))/((($B$12+0/2)*($B$10+0))+$B$13)</f>
        <v>1.18258287149013</v>
      </c>
      <c r="F43" s="42" t="n">
        <f aca="false">(((($B$5*(1+F$38))*$B43+($B$5*(1+F$38))*$B$8-$B$9-(($B$12+0/2)*($B$10+0)))-MAX((($B$5*(1+F$38))*$B43+($B$5*(1+F$38))*$B$8-$B$9-(($B$12+0/2)*($B$10+0))),0)*$B$11)+$B$9+(($B$12+0/2)*($B$10+0)))/((($B$12+0/2)*($B$10+0))+$B$13)</f>
        <v>1.22801865166586</v>
      </c>
      <c r="G43" s="42" t="n">
        <f aca="false">(((($B$5*(1+G$38))*$B43+($B$5*(1+G$38))*$B$8-$B$9-(($B$12+0/2)*($B$10+0)))-MAX((($B$5*(1+G$38))*$B43+($B$5*(1+G$38))*$B$8-$B$9-(($B$12+0/2)*($B$10+0))),0)*$B$11)+$B$9+(($B$12+0/2)*($B$10+0)))/((($B$12+0/2)*($B$10+0))+$B$13)</f>
        <v>1.2734544318416</v>
      </c>
      <c r="H43" s="42" t="n">
        <f aca="false">(((($B$5*(1+H$38))*$B43+($B$5*(1+H$38))*$B$8-$B$9-(($B$12+0/2)*($B$10+0)))-MAX((($B$5*(1+H$38))*$B43+($B$5*(1+H$38))*$B$8-$B$9-(($B$12+0/2)*($B$10+0))),0)*$B$11)+$B$9+(($B$12+0/2)*($B$10+0)))/((($B$12+0/2)*($B$10+0))+$B$13)</f>
        <v>1.31889021201733</v>
      </c>
    </row>
    <row r="44" customFormat="false" ht="15" hidden="false" customHeight="false" outlineLevel="0" collapsed="false">
      <c r="A44" s="40" t="n">
        <v>0.05</v>
      </c>
      <c r="B44" s="41" t="n">
        <f aca="false">$B$7+A44</f>
        <v>0.57</v>
      </c>
      <c r="C44" s="42" t="n">
        <f aca="false">(((($B$5*(1+C$38))*$B44+($B$5*(1+C$38))*$B$8-$B$9-(($B$12+0/2)*($B$10+0)))-MAX((($B$5*(1+C$38))*$B44+($B$5*(1+C$38))*$B$8-$B$9-(($B$12+0/2)*($B$10+0))),0)*$B$11)+$B$9+(($B$12+0/2)*($B$10+0)))/((($B$12+0/2)*($B$10+0))+$B$13)</f>
        <v>1.12864774082698</v>
      </c>
      <c r="D44" s="42" t="n">
        <f aca="false">(((($B$5*(1+D$38))*$B44+($B$5*(1+D$38))*$B$8-$B$9-(($B$12+0/2)*($B$10+0)))-MAX((($B$5*(1+D$38))*$B44+($B$5*(1+D$38))*$B$8-$B$9-(($B$12+0/2)*($B$10+0))),0)*$B$11)+$B$9+(($B$12+0/2)*($B$10+0)))/((($B$12+0/2)*($B$10+0))+$B$13)</f>
        <v>1.17606935055585</v>
      </c>
      <c r="E44" s="42" t="n">
        <f aca="false">(((($B$5*(1+E$38))*$B44+($B$5*(1+E$38))*$B$8-$B$9-(($B$12+0/2)*($B$10+0)))-MAX((($B$5*(1+E$38))*$B44+($B$5*(1+E$38))*$B$8-$B$9-(($B$12+0/2)*($B$10+0))),0)*$B$11)+$B$9+(($B$12+0/2)*($B$10+0)))/((($B$12+0/2)*($B$10+0))+$B$13)</f>
        <v>1.22349096028472</v>
      </c>
      <c r="F44" s="42" t="n">
        <f aca="false">(((($B$5*(1+F$38))*$B44+($B$5*(1+F$38))*$B$8-$B$9-(($B$12+0/2)*($B$10+0)))-MAX((($B$5*(1+F$38))*$B44+($B$5*(1+F$38))*$B$8-$B$9-(($B$12+0/2)*($B$10+0))),0)*$B$11)+$B$9+(($B$12+0/2)*($B$10+0)))/((($B$12+0/2)*($B$10+0))+$B$13)</f>
        <v>1.27091257001359</v>
      </c>
      <c r="G44" s="42" t="n">
        <f aca="false">(((($B$5*(1+G$38))*$B44+($B$5*(1+G$38))*$B$8-$B$9-(($B$12+0/2)*($B$10+0)))-MAX((($B$5*(1+G$38))*$B44+($B$5*(1+G$38))*$B$8-$B$9-(($B$12+0/2)*($B$10+0))),0)*$B$11)+$B$9+(($B$12+0/2)*($B$10+0)))/((($B$12+0/2)*($B$10+0))+$B$13)</f>
        <v>1.31833417974245</v>
      </c>
      <c r="H44" s="42" t="n">
        <f aca="false">(((($B$5*(1+H$38))*$B44+($B$5*(1+H$38))*$B$8-$B$9-(($B$12+0/2)*($B$10+0)))-MAX((($B$5*(1+H$38))*$B44+($B$5*(1+H$38))*$B$8-$B$9-(($B$12+0/2)*($B$10+0))),0)*$B$11)+$B$9+(($B$12+0/2)*($B$10+0)))/((($B$12+0/2)*($B$10+0))+$B$13)</f>
        <v>1.36575578947132</v>
      </c>
    </row>
    <row r="47" customFormat="false" ht="15" hidden="false" customHeight="false" outlineLevel="0" collapsed="false">
      <c r="A47" s="3" t="s">
        <v>300</v>
      </c>
      <c r="B47" s="4"/>
      <c r="C47" s="4"/>
      <c r="D47" s="4"/>
      <c r="E47" s="4"/>
      <c r="F47" s="4"/>
      <c r="G47" s="4"/>
      <c r="H47" s="4"/>
    </row>
    <row r="48" customFormat="false" ht="15" hidden="false" customHeight="false" outlineLevel="0" collapsed="false">
      <c r="A48" s="2" t="s">
        <v>301</v>
      </c>
      <c r="B48" s="39" t="s">
        <v>296</v>
      </c>
      <c r="C48" s="40" t="n">
        <v>-0.01</v>
      </c>
      <c r="D48" s="40" t="n">
        <v>-0.005</v>
      </c>
      <c r="E48" s="40" t="n">
        <v>0</v>
      </c>
      <c r="F48" s="40" t="n">
        <v>0.005</v>
      </c>
      <c r="G48" s="40" t="n">
        <v>0.01</v>
      </c>
      <c r="H48" s="40" t="n">
        <v>0.02</v>
      </c>
    </row>
    <row r="49" customFormat="false" ht="15" hidden="false" customHeight="false" outlineLevel="0" collapsed="false">
      <c r="B49" s="39" t="s">
        <v>297</v>
      </c>
      <c r="C49" s="41" t="n">
        <f aca="false">$B$10+C48</f>
        <v>0.076</v>
      </c>
      <c r="D49" s="41" t="n">
        <f aca="false">$B$10+D48</f>
        <v>0.081</v>
      </c>
      <c r="E49" s="41" t="n">
        <f aca="false">$B$10+E48</f>
        <v>0.086</v>
      </c>
      <c r="F49" s="41" t="n">
        <f aca="false">$B$10+F48</f>
        <v>0.091</v>
      </c>
      <c r="G49" s="41" t="n">
        <f aca="false">$B$10+G48</f>
        <v>0.096</v>
      </c>
      <c r="H49" s="41" t="n">
        <f aca="false">$B$10+H48</f>
        <v>0.106</v>
      </c>
    </row>
    <row r="50" customFormat="false" ht="15" hidden="false" customHeight="false" outlineLevel="0" collapsed="false">
      <c r="A50" s="40" t="n">
        <v>-0.1</v>
      </c>
      <c r="B50" s="41" t="n">
        <f aca="false">$B$7+A50</f>
        <v>0.42</v>
      </c>
      <c r="C50" s="42" t="n">
        <f aca="false">((($B$5*(1+$B$6))*$B50+($B$5*(1+$B$6))*$B$8-$B$9-(($B$12+0/2)*($B$10+C$48)))+(($B$12+0/2)*($B$10+C$48)))/(($B$12+0/2)*($B$10+C$48))</f>
        <v>1.7560765720422</v>
      </c>
      <c r="D50" s="42" t="n">
        <f aca="false">((($B$5*(1+$B$6))*$B50+($B$5*(1+$B$6))*$B$8-$B$9-(($B$12+0/2)*($B$10+D$48)))+(($B$12+0/2)*($B$10+D$48)))/(($B$12+0/2)*($B$10+D$48))</f>
        <v>1.64767678364453</v>
      </c>
      <c r="E50" s="42" t="n">
        <f aca="false">((($B$5*(1+$B$6))*$B50+($B$5*(1+$B$6))*$B$8-$B$9-(($B$12+0/2)*($B$10+E$48)))+(($B$12+0/2)*($B$10+E$48)))/(($B$12+0/2)*($B$10+E$48))</f>
        <v>1.55188162180473</v>
      </c>
      <c r="F50" s="42" t="n">
        <f aca="false">((($B$5*(1+$B$6))*$B50+($B$5*(1+$B$6))*$B$8-$B$9-(($B$12+0/2)*($B$10+F$48)))+(($B$12+0/2)*($B$10+F$48)))/(($B$12+0/2)*($B$10+F$48))</f>
        <v>1.46661340082645</v>
      </c>
      <c r="G50" s="42" t="n">
        <f aca="false">((($B$5*(1+$B$6))*$B50+($B$5*(1+$B$6))*$B$8-$B$9-(($B$12+0/2)*($B$10+G$48)))+(($B$12+0/2)*($B$10+G$48)))/(($B$12+0/2)*($B$10+G$48))</f>
        <v>1.39022728620007</v>
      </c>
      <c r="H50" s="42" t="n">
        <f aca="false">((($B$5*(1+$B$6))*$B50+($B$5*(1+$B$6))*$B$8-$B$9-(($B$12+0/2)*($B$10+H$48)))+(($B$12+0/2)*($B$10+H$48)))/(($B$12+0/2)*($B$10+H$48))</f>
        <v>1.25907376863403</v>
      </c>
    </row>
    <row r="51" customFormat="false" ht="15" hidden="false" customHeight="false" outlineLevel="0" collapsed="false">
      <c r="A51" s="40" t="n">
        <v>-0.05</v>
      </c>
      <c r="B51" s="41" t="n">
        <f aca="false">$B$7+A51</f>
        <v>0.47</v>
      </c>
      <c r="C51" s="42" t="n">
        <f aca="false">((($B$5*(1+$B$6))*$B51+($B$5*(1+$B$6))*$B$8-$B$9-(($B$12+0/2)*($B$10+C$48)))+(($B$12+0/2)*($B$10+C$48)))/(($B$12+0/2)*($B$10+C$48))</f>
        <v>2.03579450968952</v>
      </c>
      <c r="D51" s="42" t="n">
        <f aca="false">((($B$5*(1+$B$6))*$B51+($B$5*(1+$B$6))*$B$8-$B$9-(($B$12+0/2)*($B$10+D$48)))+(($B$12+0/2)*($B$10+D$48)))/(($B$12+0/2)*($B$10+D$48))</f>
        <v>1.91012818193091</v>
      </c>
      <c r="E51" s="42" t="n">
        <f aca="false">((($B$5*(1+$B$6))*$B51+($B$5*(1+$B$6))*$B$8-$B$9-(($B$12+0/2)*($B$10+E$48)))+(($B$12+0/2)*($B$10+E$48)))/(($B$12+0/2)*($B$10+E$48))</f>
        <v>1.79907421786516</v>
      </c>
      <c r="F51" s="42" t="n">
        <f aca="false">((($B$5*(1+$B$6))*$B51+($B$5*(1+$B$6))*$B$8-$B$9-(($B$12+0/2)*($B$10+F$48)))+(($B$12+0/2)*($B$10+F$48)))/(($B$12+0/2)*($B$10+F$48))</f>
        <v>1.70022398611433</v>
      </c>
      <c r="G51" s="42" t="n">
        <f aca="false">((($B$5*(1+$B$6))*$B51+($B$5*(1+$B$6))*$B$8-$B$9-(($B$12+0/2)*($B$10+G$48)))+(($B$12+0/2)*($B$10+G$48)))/(($B$12+0/2)*($B$10+G$48))</f>
        <v>1.61167065350421</v>
      </c>
      <c r="H51" s="42" t="n">
        <f aca="false">((($B$5*(1+$B$6))*$B51+($B$5*(1+$B$6))*$B$8-$B$9-(($B$12+0/2)*($B$10+H$48)))+(($B$12+0/2)*($B$10+H$48)))/(($B$12+0/2)*($B$10+H$48))</f>
        <v>1.45962625223022</v>
      </c>
    </row>
    <row r="52" customFormat="false" ht="15" hidden="false" customHeight="false" outlineLevel="0" collapsed="false">
      <c r="A52" s="40" t="n">
        <v>-0.025</v>
      </c>
      <c r="B52" s="41" t="n">
        <f aca="false">$B$7+A52</f>
        <v>0.495</v>
      </c>
      <c r="C52" s="42" t="n">
        <f aca="false">((($B$5*(1+$B$6))*$B52+($B$5*(1+$B$6))*$B$8-$B$9-(($B$12+0/2)*($B$10+C$48)))+(($B$12+0/2)*($B$10+C$48)))/(($B$12+0/2)*($B$10+C$48))</f>
        <v>2.17565347851318</v>
      </c>
      <c r="D52" s="42" t="n">
        <f aca="false">((($B$5*(1+$B$6))*$B52+($B$5*(1+$B$6))*$B$8-$B$9-(($B$12+0/2)*($B$10+D$48)))+(($B$12+0/2)*($B$10+D$48)))/(($B$12+0/2)*($B$10+D$48))</f>
        <v>2.0413538810741</v>
      </c>
      <c r="E52" s="42" t="n">
        <f aca="false">((($B$5*(1+$B$6))*$B52+($B$5*(1+$B$6))*$B$8-$B$9-(($B$12+0/2)*($B$10+E$48)))+(($B$12+0/2)*($B$10+E$48)))/(($B$12+0/2)*($B$10+E$48))</f>
        <v>1.92267051589537</v>
      </c>
      <c r="F52" s="42" t="n">
        <f aca="false">((($B$5*(1+$B$6))*$B52+($B$5*(1+$B$6))*$B$8-$B$9-(($B$12+0/2)*($B$10+F$48)))+(($B$12+0/2)*($B$10+F$48)))/(($B$12+0/2)*($B$10+F$48))</f>
        <v>1.81702927875826</v>
      </c>
      <c r="G52" s="42" t="n">
        <f aca="false">((($B$5*(1+$B$6))*$B52+($B$5*(1+$B$6))*$B$8-$B$9-(($B$12+0/2)*($B$10+G$48)))+(($B$12+0/2)*($B$10+G$48)))/(($B$12+0/2)*($B$10+G$48))</f>
        <v>1.72239233715627</v>
      </c>
      <c r="H52" s="42" t="n">
        <f aca="false">((($B$5*(1+$B$6))*$B52+($B$5*(1+$B$6))*$B$8-$B$9-(($B$12+0/2)*($B$10+H$48)))+(($B$12+0/2)*($B$10+H$48)))/(($B$12+0/2)*($B$10+H$48))</f>
        <v>1.55990249402832</v>
      </c>
    </row>
    <row r="53" customFormat="false" ht="15" hidden="false" customHeight="false" outlineLevel="0" collapsed="false">
      <c r="A53" s="40" t="n">
        <v>0</v>
      </c>
      <c r="B53" s="41" t="n">
        <f aca="false">$B$7+A53</f>
        <v>0.52</v>
      </c>
      <c r="C53" s="42" t="n">
        <f aca="false">((($B$5*(1+$B$6))*$B53+($B$5*(1+$B$6))*$B$8-$B$9-(($B$12+0/2)*($B$10+C$48)))+(($B$12+0/2)*($B$10+C$48)))/(($B$12+0/2)*($B$10+C$48))</f>
        <v>2.31551244733685</v>
      </c>
      <c r="D53" s="42" t="n">
        <f aca="false">((($B$5*(1+$B$6))*$B53+($B$5*(1+$B$6))*$B$8-$B$9-(($B$12+0/2)*($B$10+D$48)))+(($B$12+0/2)*($B$10+D$48)))/(($B$12+0/2)*($B$10+D$48))</f>
        <v>2.17257958021729</v>
      </c>
      <c r="E53" s="42" t="n">
        <f aca="false">((($B$5*(1+$B$6))*$B53+($B$5*(1+$B$6))*$B$8-$B$9-(($B$12+0/2)*($B$10+E$48)))+(($B$12+0/2)*($B$10+E$48)))/(($B$12+0/2)*($B$10+E$48))</f>
        <v>2.04626681392559</v>
      </c>
      <c r="F53" s="42" t="n">
        <f aca="false">((($B$5*(1+$B$6))*$B53+($B$5*(1+$B$6))*$B$8-$B$9-(($B$12+0/2)*($B$10+F$48)))+(($B$12+0/2)*($B$10+F$48)))/(($B$12+0/2)*($B$10+F$48))</f>
        <v>1.9338345714022</v>
      </c>
      <c r="G53" s="42" t="n">
        <f aca="false">((($B$5*(1+$B$6))*$B53+($B$5*(1+$B$6))*$B$8-$B$9-(($B$12+0/2)*($B$10+G$48)))+(($B$12+0/2)*($B$10+G$48)))/(($B$12+0/2)*($B$10+G$48))</f>
        <v>1.83311402080834</v>
      </c>
      <c r="H53" s="42" t="n">
        <f aca="false">((($B$5*(1+$B$6))*$B53+($B$5*(1+$B$6))*$B$8-$B$9-(($B$12+0/2)*($B$10+H$48)))+(($B$12+0/2)*($B$10+H$48)))/(($B$12+0/2)*($B$10+H$48))</f>
        <v>1.66017873582642</v>
      </c>
    </row>
    <row r="54" customFormat="false" ht="15" hidden="false" customHeight="false" outlineLevel="0" collapsed="false">
      <c r="A54" s="40" t="n">
        <v>0.025</v>
      </c>
      <c r="B54" s="41" t="n">
        <f aca="false">$B$7+A54</f>
        <v>0.545</v>
      </c>
      <c r="C54" s="42" t="n">
        <f aca="false">((($B$5*(1+$B$6))*$B54+($B$5*(1+$B$6))*$B$8-$B$9-(($B$12+0/2)*($B$10+C$48)))+(($B$12+0/2)*($B$10+C$48)))/(($B$12+0/2)*($B$10+C$48))</f>
        <v>2.45537141616051</v>
      </c>
      <c r="D54" s="42" t="n">
        <f aca="false">((($B$5*(1+$B$6))*$B54+($B$5*(1+$B$6))*$B$8-$B$9-(($B$12+0/2)*($B$10+D$48)))+(($B$12+0/2)*($B$10+D$48)))/(($B$12+0/2)*($B$10+D$48))</f>
        <v>2.30380527936048</v>
      </c>
      <c r="E54" s="42" t="n">
        <f aca="false">((($B$5*(1+$B$6))*$B54+($B$5*(1+$B$6))*$B$8-$B$9-(($B$12+0/2)*($B$10+E$48)))+(($B$12+0/2)*($B$10+E$48)))/(($B$12+0/2)*($B$10+E$48))</f>
        <v>2.1698631119558</v>
      </c>
      <c r="F54" s="42" t="n">
        <f aca="false">((($B$5*(1+$B$6))*$B54+($B$5*(1+$B$6))*$B$8-$B$9-(($B$12+0/2)*($B$10+F$48)))+(($B$12+0/2)*($B$10+F$48)))/(($B$12+0/2)*($B$10+F$48))</f>
        <v>2.05063986404614</v>
      </c>
      <c r="G54" s="42" t="n">
        <f aca="false">((($B$5*(1+$B$6))*$B54+($B$5*(1+$B$6))*$B$8-$B$9-(($B$12+0/2)*($B$10+G$48)))+(($B$12+0/2)*($B$10+G$48)))/(($B$12+0/2)*($B$10+G$48))</f>
        <v>1.9438357044604</v>
      </c>
      <c r="H54" s="42" t="n">
        <f aca="false">((($B$5*(1+$B$6))*$B54+($B$5*(1+$B$6))*$B$8-$B$9-(($B$12+0/2)*($B$10+H$48)))+(($B$12+0/2)*($B$10+H$48)))/(($B$12+0/2)*($B$10+H$48))</f>
        <v>1.76045497762452</v>
      </c>
    </row>
    <row r="55" customFormat="false" ht="15" hidden="false" customHeight="false" outlineLevel="0" collapsed="false">
      <c r="A55" s="40" t="n">
        <v>0.05</v>
      </c>
      <c r="B55" s="41" t="n">
        <f aca="false">$B$7+A55</f>
        <v>0.57</v>
      </c>
      <c r="C55" s="42" t="n">
        <f aca="false">((($B$5*(1+$B$6))*$B55+($B$5*(1+$B$6))*$B$8-$B$9-(($B$12+0/2)*($B$10+C$48)))+(($B$12+0/2)*($B$10+C$48)))/(($B$12+0/2)*($B$10+C$48))</f>
        <v>2.59523038498417</v>
      </c>
      <c r="D55" s="42" t="n">
        <f aca="false">((($B$5*(1+$B$6))*$B55+($B$5*(1+$B$6))*$B$8-$B$9-(($B$12+0/2)*($B$10+D$48)))+(($B$12+0/2)*($B$10+D$48)))/(($B$12+0/2)*($B$10+D$48))</f>
        <v>2.43503097850367</v>
      </c>
      <c r="E55" s="42" t="n">
        <f aca="false">((($B$5*(1+$B$6))*$B55+($B$5*(1+$B$6))*$B$8-$B$9-(($B$12+0/2)*($B$10+E$48)))+(($B$12+0/2)*($B$10+E$48)))/(($B$12+0/2)*($B$10+E$48))</f>
        <v>2.29345940998601</v>
      </c>
      <c r="F55" s="42" t="n">
        <f aca="false">((($B$5*(1+$B$6))*$B55+($B$5*(1+$B$6))*$B$8-$B$9-(($B$12+0/2)*($B$10+F$48)))+(($B$12+0/2)*($B$10+F$48)))/(($B$12+0/2)*($B$10+F$48))</f>
        <v>2.16744515669008</v>
      </c>
      <c r="G55" s="42" t="n">
        <f aca="false">((($B$5*(1+$B$6))*$B55+($B$5*(1+$B$6))*$B$8-$B$9-(($B$12+0/2)*($B$10+G$48)))+(($B$12+0/2)*($B$10+G$48)))/(($B$12+0/2)*($B$10+G$48))</f>
        <v>2.05455738811247</v>
      </c>
      <c r="H55" s="42" t="n">
        <f aca="false">((($B$5*(1+$B$6))*$B55+($B$5*(1+$B$6))*$B$8-$B$9-(($B$12+0/2)*($B$10+H$48)))+(($B$12+0/2)*($B$10+H$48)))/(($B$12+0/2)*($B$10+H$48))</f>
        <v>1.86073121942261</v>
      </c>
    </row>
    <row r="58" customFormat="false" ht="15" hidden="false" customHeight="false" outlineLevel="0" collapsed="false">
      <c r="A58" s="3" t="s">
        <v>302</v>
      </c>
      <c r="B58" s="4"/>
      <c r="C58" s="4"/>
      <c r="D58" s="4"/>
      <c r="E58" s="4"/>
      <c r="F58" s="4"/>
      <c r="G58" s="4"/>
      <c r="H58" s="4"/>
    </row>
    <row r="59" customFormat="false" ht="15" hidden="false" customHeight="false" outlineLevel="0" collapsed="false">
      <c r="A59" s="2" t="s">
        <v>303</v>
      </c>
      <c r="B59" s="39" t="s">
        <v>296</v>
      </c>
      <c r="C59" s="40" t="n">
        <v>-0.15</v>
      </c>
      <c r="D59" s="40" t="n">
        <v>-0.1</v>
      </c>
      <c r="E59" s="40" t="n">
        <v>-0.05</v>
      </c>
      <c r="F59" s="40" t="n">
        <v>0</v>
      </c>
      <c r="G59" s="40" t="n">
        <v>0.05</v>
      </c>
      <c r="H59" s="40" t="n">
        <v>0.1</v>
      </c>
    </row>
    <row r="60" customFormat="false" ht="15" hidden="false" customHeight="false" outlineLevel="0" collapsed="false">
      <c r="B60" s="39" t="s">
        <v>297</v>
      </c>
      <c r="C60" s="41" t="n">
        <f aca="false">$B$6+C59</f>
        <v>-0.07</v>
      </c>
      <c r="D60" s="41" t="n">
        <f aca="false">$B$6+D59</f>
        <v>-0.02</v>
      </c>
      <c r="E60" s="41" t="n">
        <f aca="false">$B$6+E59</f>
        <v>0.03</v>
      </c>
      <c r="F60" s="41" t="n">
        <f aca="false">$B$6+F59</f>
        <v>0.08</v>
      </c>
      <c r="G60" s="41" t="n">
        <f aca="false">$B$6+G59</f>
        <v>0.13</v>
      </c>
      <c r="H60" s="41" t="n">
        <f aca="false">$B$6+H59</f>
        <v>0.18</v>
      </c>
    </row>
    <row r="61" customFormat="false" ht="15" hidden="false" customHeight="false" outlineLevel="0" collapsed="false">
      <c r="A61" s="43" t="n">
        <v>0</v>
      </c>
      <c r="B61" s="44" t="n">
        <f aca="false">A61</f>
        <v>0</v>
      </c>
      <c r="C61" s="42" t="n">
        <f aca="false">IF(($B$15+(((($B$5*(1+C$60))*$B$7+($B$5*(1+C$60))*$B$8-$B$9-(($B$12+$B61/2)*($B$10+0)))-MAX((($B$5*(1+C$60))*$B$7+($B$5*(1+C$60))*$B$8-$B$9-(($B$12+$B61/2)*($B$10+0))),0)*$B$11)-$B$18)*(1-$B$16)-Inputs!$B$6*$B$17)&gt;0,($B$14+$B61)/($B$15+(((($B$5*(1+C$60))*$B$7+($B$5*(1+C$60))*$B$8-$B$9-(($B$12+$B61/2)*($B$10+0)))-MAX((($B$5*(1+C$60))*$B$7+($B$5*(1+C$60))*$B$8-$B$9-(($B$12+$B61/2)*($B$10+0))),0)*$B$11)-$B$18)*(1-$B$16)-Inputs!$B$6*$B$17),"n.m.")</f>
        <v>1.48166984434212</v>
      </c>
      <c r="D61" s="42" t="n">
        <f aca="false">IF(($B$15+(((($B$5*(1+D$60))*$B$7+($B$5*(1+D$60))*$B$8-$B$9-(($B$12+$B61/2)*($B$10+0)))-MAX((($B$5*(1+D$60))*$B$7+($B$5*(1+D$60))*$B$8-$B$9-(($B$12+$B61/2)*($B$10+0))),0)*$B$11)-$B$18)*(1-$B$16)-Inputs!$B$6*$B$17)&gt;0,($B$14+$B61)/($B$15+(((($B$5*(1+D$60))*$B$7+($B$5*(1+D$60))*$B$8-$B$9-(($B$12+$B61/2)*($B$10+0)))-MAX((($B$5*(1+D$60))*$B$7+($B$5*(1+D$60))*$B$8-$B$9-(($B$12+$B61/2)*($B$10+0))),0)*$B$11)-$B$18)*(1-$B$16)-Inputs!$B$6*$B$17),"n.m.")</f>
        <v>1.47318736027784</v>
      </c>
      <c r="E61" s="42" t="n">
        <f aca="false">IF(($B$15+(((($B$5*(1+E$60))*$B$7+($B$5*(1+E$60))*$B$8-$B$9-(($B$12+$B61/2)*($B$10+0)))-MAX((($B$5*(1+E$60))*$B$7+($B$5*(1+E$60))*$B$8-$B$9-(($B$12+$B61/2)*($B$10+0))),0)*$B$11)-$B$18)*(1-$B$16)-Inputs!$B$6*$B$17)&gt;0,($B$14+$B61)/($B$15+(((($B$5*(1+E$60))*$B$7+($B$5*(1+E$60))*$B$8-$B$9-(($B$12+$B61/2)*($B$10+0)))-MAX((($B$5*(1+E$60))*$B$7+($B$5*(1+E$60))*$B$8-$B$9-(($B$12+$B61/2)*($B$10+0))),0)*$B$11)-$B$18)*(1-$B$16)-Inputs!$B$6*$B$17),"n.m.")</f>
        <v>1.46480144692587</v>
      </c>
      <c r="F61" s="42" t="n">
        <f aca="false">IF(($B$15+(((($B$5*(1+F$60))*$B$7+($B$5*(1+F$60))*$B$8-$B$9-(($B$12+$B61/2)*($B$10+0)))-MAX((($B$5*(1+F$60))*$B$7+($B$5*(1+F$60))*$B$8-$B$9-(($B$12+$B61/2)*($B$10+0))),0)*$B$11)-$B$18)*(1-$B$16)-Inputs!$B$6*$B$17)&gt;0,($B$14+$B61)/($B$15+(((($B$5*(1+F$60))*$B$7+($B$5*(1+F$60))*$B$8-$B$9-(($B$12+$B61/2)*($B$10+0)))-MAX((($B$5*(1+F$60))*$B$7+($B$5*(1+F$60))*$B$8-$B$9-(($B$12+$B61/2)*($B$10+0))),0)*$B$11)-$B$18)*(1-$B$16)-Inputs!$B$6*$B$17),"n.m.")</f>
        <v>1.45651046447472</v>
      </c>
      <c r="G61" s="42" t="n">
        <f aca="false">IF(($B$15+(((($B$5*(1+G$60))*$B$7+($B$5*(1+G$60))*$B$8-$B$9-(($B$12+$B61/2)*($B$10+0)))-MAX((($B$5*(1+G$60))*$B$7+($B$5*(1+G$60))*$B$8-$B$9-(($B$12+$B61/2)*($B$10+0))),0)*$B$11)-$B$18)*(1-$B$16)-Inputs!$B$6*$B$17)&gt;0,($B$14+$B61)/($B$15+(((($B$5*(1+G$60))*$B$7+($B$5*(1+G$60))*$B$8-$B$9-(($B$12+$B61/2)*($B$10+0)))-MAX((($B$5*(1+G$60))*$B$7+($B$5*(1+G$60))*$B$8-$B$9-(($B$12+$B61/2)*($B$10+0))),0)*$B$11)-$B$18)*(1-$B$16)-Inputs!$B$6*$B$17),"n.m.")</f>
        <v>1.44831281003019</v>
      </c>
      <c r="H61" s="42" t="n">
        <f aca="false">IF(($B$15+(((($B$5*(1+H$60))*$B$7+($B$5*(1+H$60))*$B$8-$B$9-(($B$12+$B61/2)*($B$10+0)))-MAX((($B$5*(1+H$60))*$B$7+($B$5*(1+H$60))*$B$8-$B$9-(($B$12+$B61/2)*($B$10+0))),0)*$B$11)-$B$18)*(1-$B$16)-Inputs!$B$6*$B$17)&gt;0,($B$14+$B61)/($B$15+(((($B$5*(1+H$60))*$B$7+($B$5*(1+H$60))*$B$8-$B$9-(($B$12+$B61/2)*($B$10+0)))-MAX((($B$5*(1+H$60))*$B$7+($B$5*(1+H$60))*$B$8-$B$9-(($B$12+$B61/2)*($B$10+0))),0)*$B$11)-$B$18)*(1-$B$16)-Inputs!$B$6*$B$17),"n.m.")</f>
        <v>1.4402069165823</v>
      </c>
    </row>
    <row r="62" customFormat="false" ht="15" hidden="false" customHeight="false" outlineLevel="0" collapsed="false">
      <c r="A62" s="43" t="n">
        <v>1000</v>
      </c>
      <c r="B62" s="44" t="n">
        <f aca="false">A62</f>
        <v>1000</v>
      </c>
      <c r="C62" s="42" t="n">
        <f aca="false">IF(($B$15+(((($B$5*(1+C$60))*$B$7+($B$5*(1+C$60))*$B$8-$B$9-(($B$12+$B62/2)*($B$10+0)))-MAX((($B$5*(1+C$60))*$B$7+($B$5*(1+C$60))*$B$8-$B$9-(($B$12+$B62/2)*($B$10+0))),0)*$B$11)-$B$18)*(1-$B$16)-Inputs!$B$6*$B$17)&gt;0,($B$14+$B62)/($B$15+(((($B$5*(1+C$60))*$B$7+($B$5*(1+C$60))*$B$8-$B$9-(($B$12+$B62/2)*($B$10+0)))-MAX((($B$5*(1+C$60))*$B$7+($B$5*(1+C$60))*$B$8-$B$9-(($B$12+$B62/2)*($B$10+0))),0)*$B$11)-$B$18)*(1-$B$16)-Inputs!$B$6*$B$17),"n.m.")</f>
        <v>1.52974357282248</v>
      </c>
      <c r="D62" s="42" t="n">
        <f aca="false">IF(($B$15+(((($B$5*(1+D$60))*$B$7+($B$5*(1+D$60))*$B$8-$B$9-(($B$12+$B62/2)*($B$10+0)))-MAX((($B$5*(1+D$60))*$B$7+($B$5*(1+D$60))*$B$8-$B$9-(($B$12+$B62/2)*($B$10+0))),0)*$B$11)-$B$18)*(1-$B$16)-Inputs!$B$6*$B$17)&gt;0,($B$14+$B62)/($B$15+(((($B$5*(1+D$60))*$B$7+($B$5*(1+D$60))*$B$8-$B$9-(($B$12+$B62/2)*($B$10+0)))-MAX((($B$5*(1+D$60))*$B$7+($B$5*(1+D$60))*$B$8-$B$9-(($B$12+$B62/2)*($B$10+0))),0)*$B$11)-$B$18)*(1-$B$16)-Inputs!$B$6*$B$17),"n.m.")</f>
        <v>1.52097555035042</v>
      </c>
      <c r="E62" s="42" t="n">
        <f aca="false">IF(($B$15+(((($B$5*(1+E$60))*$B$7+($B$5*(1+E$60))*$B$8-$B$9-(($B$12+$B62/2)*($B$10+0)))-MAX((($B$5*(1+E$60))*$B$7+($B$5*(1+E$60))*$B$8-$B$9-(($B$12+$B62/2)*($B$10+0))),0)*$B$11)-$B$18)*(1-$B$16)-Inputs!$B$6*$B$17)&gt;0,($B$14+$B62)/($B$15+(((($B$5*(1+E$60))*$B$7+($B$5*(1+E$60))*$B$8-$B$9-(($B$12+$B62/2)*($B$10+0)))-MAX((($B$5*(1+E$60))*$B$7+($B$5*(1+E$60))*$B$8-$B$9-(($B$12+$B62/2)*($B$10+0))),0)*$B$11)-$B$18)*(1-$B$16)-Inputs!$B$6*$B$17),"n.m.")</f>
        <v>1.51230746631017</v>
      </c>
      <c r="F62" s="42" t="n">
        <f aca="false">IF(($B$15+(((($B$5*(1+F$60))*$B$7+($B$5*(1+F$60))*$B$8-$B$9-(($B$12+$B62/2)*($B$10+0)))-MAX((($B$5*(1+F$60))*$B$7+($B$5*(1+F$60))*$B$8-$B$9-(($B$12+$B62/2)*($B$10+0))),0)*$B$11)-$B$18)*(1-$B$16)-Inputs!$B$6*$B$17)&gt;0,($B$14+$B62)/($B$15+(((($B$5*(1+F$60))*$B$7+($B$5*(1+F$60))*$B$8-$B$9-(($B$12+$B62/2)*($B$10+0)))-MAX((($B$5*(1+F$60))*$B$7+($B$5*(1+F$60))*$B$8-$B$9-(($B$12+$B62/2)*($B$10+0))),0)*$B$11)-$B$18)*(1-$B$16)-Inputs!$B$6*$B$17),"n.m.")</f>
        <v>1.50373762172809</v>
      </c>
      <c r="G62" s="42" t="n">
        <f aca="false">IF(($B$15+(((($B$5*(1+G$60))*$B$7+($B$5*(1+G$60))*$B$8-$B$9-(($B$12+$B62/2)*($B$10+0)))-MAX((($B$5*(1+G$60))*$B$7+($B$5*(1+G$60))*$B$8-$B$9-(($B$12+$B62/2)*($B$10+0))),0)*$B$11)-$B$18)*(1-$B$16)-Inputs!$B$6*$B$17)&gt;0,($B$14+$B62)/($B$15+(((($B$5*(1+G$60))*$B$7+($B$5*(1+G$60))*$B$8-$B$9-(($B$12+$B62/2)*($B$10+0)))-MAX((($B$5*(1+G$60))*$B$7+($B$5*(1+G$60))*$B$8-$B$9-(($B$12+$B62/2)*($B$10+0))),0)*$B$11)-$B$18)*(1-$B$16)-Inputs!$B$6*$B$17),"n.m.")</f>
        <v>1.49526435592412</v>
      </c>
      <c r="H62" s="42" t="n">
        <f aca="false">IF(($B$15+(((($B$5*(1+H$60))*$B$7+($B$5*(1+H$60))*$B$8-$B$9-(($B$12+$B62/2)*($B$10+0)))-MAX((($B$5*(1+H$60))*$B$7+($B$5*(1+H$60))*$B$8-$B$9-(($B$12+$B62/2)*($B$10+0))),0)*$B$11)-$B$18)*(1-$B$16)-Inputs!$B$6*$B$17)&gt;0,($B$14+$B62)/($B$15+(((($B$5*(1+H$60))*$B$7+($B$5*(1+H$60))*$B$8-$B$9-(($B$12+$B62/2)*($B$10+0)))-MAX((($B$5*(1+H$60))*$B$7+($B$5*(1+H$60))*$B$8-$B$9-(($B$12+$B62/2)*($B$10+0))),0)*$B$11)-$B$18)*(1-$B$16)-Inputs!$B$6*$B$17),"n.m.")</f>
        <v>1.48688604543884</v>
      </c>
    </row>
    <row r="63" customFormat="false" ht="15" hidden="false" customHeight="false" outlineLevel="0" collapsed="false">
      <c r="A63" s="43" t="n">
        <v>2000</v>
      </c>
      <c r="B63" s="44" t="n">
        <f aca="false">A63</f>
        <v>2000</v>
      </c>
      <c r="C63" s="42" t="n">
        <f aca="false">IF(($B$15+(((($B$5*(1+C$60))*$B$7+($B$5*(1+C$60))*$B$8-$B$9-(($B$12+$B63/2)*($B$10+0)))-MAX((($B$5*(1+C$60))*$B$7+($B$5*(1+C$60))*$B$8-$B$9-(($B$12+$B63/2)*($B$10+0))),0)*$B$11)-$B$18)*(1-$B$16)-Inputs!$B$6*$B$17)&gt;0,($B$14+$B63)/($B$15+(((($B$5*(1+C$60))*$B$7+($B$5*(1+C$60))*$B$8-$B$9-(($B$12+$B63/2)*($B$10+0)))-MAX((($B$5*(1+C$60))*$B$7+($B$5*(1+C$60))*$B$8-$B$9-(($B$12+$B63/2)*($B$10+0))),0)*$B$11)-$B$18)*(1-$B$16)-Inputs!$B$6*$B$17),"n.m.")</f>
        <v>1.57793137536686</v>
      </c>
      <c r="D63" s="42" t="n">
        <f aca="false">IF(($B$15+(((($B$5*(1+D$60))*$B$7+($B$5*(1+D$60))*$B$8-$B$9-(($B$12+$B63/2)*($B$10+0)))-MAX((($B$5*(1+D$60))*$B$7+($B$5*(1+D$60))*$B$8-$B$9-(($B$12+$B63/2)*($B$10+0))),0)*$B$11)-$B$18)*(1-$B$16)-Inputs!$B$6*$B$17)&gt;0,($B$14+$B63)/($B$15+(((($B$5*(1+D$60))*$B$7+($B$5*(1+D$60))*$B$8-$B$9-(($B$12+$B63/2)*($B$10+0)))-MAX((($B$5*(1+D$60))*$B$7+($B$5*(1+D$60))*$B$8-$B$9-(($B$12+$B63/2)*($B$10+0))),0)*$B$11)-$B$18)*(1-$B$16)-Inputs!$B$6*$B$17),"n.m.")</f>
        <v>1.56887648621261</v>
      </c>
      <c r="E63" s="42" t="n">
        <f aca="false">IF(($B$15+(((($B$5*(1+E$60))*$B$7+($B$5*(1+E$60))*$B$8-$B$9-(($B$12+$B63/2)*($B$10+0)))-MAX((($B$5*(1+E$60))*$B$7+($B$5*(1+E$60))*$B$8-$B$9-(($B$12+$B63/2)*($B$10+0))),0)*$B$11)-$B$18)*(1-$B$16)-Inputs!$B$6*$B$17)&gt;0,($B$14+$B63)/($B$15+(((($B$5*(1+E$60))*$B$7+($B$5*(1+E$60))*$B$8-$B$9-(($B$12+$B63/2)*($B$10+0)))-MAX((($B$5*(1+E$60))*$B$7+($B$5*(1+E$60))*$B$8-$B$9-(($B$12+$B63/2)*($B$10+0))),0)*$B$11)-$B$18)*(1-$B$16)-Inputs!$B$6*$B$17),"n.m.")</f>
        <v>1.55992492626722</v>
      </c>
      <c r="F63" s="42" t="n">
        <f aca="false">IF(($B$15+(((($B$5*(1+F$60))*$B$7+($B$5*(1+F$60))*$B$8-$B$9-(($B$12+$B63/2)*($B$10+0)))-MAX((($B$5*(1+F$60))*$B$7+($B$5*(1+F$60))*$B$8-$B$9-(($B$12+$B63/2)*($B$10+0))),0)*$B$11)-$B$18)*(1-$B$16)-Inputs!$B$6*$B$17)&gt;0,($B$14+$B63)/($B$15+(((($B$5*(1+F$60))*$B$7+($B$5*(1+F$60))*$B$8-$B$9-(($B$12+$B63/2)*($B$10+0)))-MAX((($B$5*(1+F$60))*$B$7+($B$5*(1+F$60))*$B$8-$B$9-(($B$12+$B63/2)*($B$10+0))),0)*$B$11)-$B$18)*(1-$B$16)-Inputs!$B$6*$B$17),"n.m.")</f>
        <v>1.55107493686452</v>
      </c>
      <c r="G63" s="42" t="n">
        <f aca="false">IF(($B$15+(((($B$5*(1+G$60))*$B$7+($B$5*(1+G$60))*$B$8-$B$9-(($B$12+$B63/2)*($B$10+0)))-MAX((($B$5*(1+G$60))*$B$7+($B$5*(1+G$60))*$B$8-$B$9-(($B$12+$B63/2)*($B$10+0))),0)*$B$11)-$B$18)*(1-$B$16)-Inputs!$B$6*$B$17)&gt;0,($B$14+$B63)/($B$15+(((($B$5*(1+G$60))*$B$7+($B$5*(1+G$60))*$B$8-$B$9-(($B$12+$B63/2)*($B$10+0)))-MAX((($B$5*(1+G$60))*$B$7+($B$5*(1+G$60))*$B$8-$B$9-(($B$12+$B63/2)*($B$10+0))),0)*$B$11)-$B$18)*(1-$B$16)-Inputs!$B$6*$B$17),"n.m.")</f>
        <v>1.54232479902324</v>
      </c>
      <c r="H63" s="42" t="n">
        <f aca="false">IF(($B$15+(((($B$5*(1+H$60))*$B$7+($B$5*(1+H$60))*$B$8-$B$9-(($B$12+$B63/2)*($B$10+0)))-MAX((($B$5*(1+H$60))*$B$7+($B$5*(1+H$60))*$B$8-$B$9-(($B$12+$B63/2)*($B$10+0))),0)*$B$11)-$B$18)*(1-$B$16)-Inputs!$B$6*$B$17)&gt;0,($B$14+$B63)/($B$15+(((($B$5*(1+H$60))*$B$7+($B$5*(1+H$60))*$B$8-$B$9-(($B$12+$B63/2)*($B$10+0)))-MAX((($B$5*(1+H$60))*$B$7+($B$5*(1+H$60))*$B$8-$B$9-(($B$12+$B63/2)*($B$10+0))),0)*$B$11)-$B$18)*(1-$B$16)-Inputs!$B$6*$B$17),"n.m.")</f>
        <v>1.53367283233396</v>
      </c>
    </row>
    <row r="64" customFormat="false" ht="15" hidden="false" customHeight="false" outlineLevel="0" collapsed="false">
      <c r="A64" s="43" t="n">
        <v>3000</v>
      </c>
      <c r="B64" s="44" t="n">
        <f aca="false">A64</f>
        <v>3000</v>
      </c>
      <c r="C64" s="42" t="n">
        <f aca="false">IF(($B$15+(((($B$5*(1+C$60))*$B$7+($B$5*(1+C$60))*$B$8-$B$9-(($B$12+$B64/2)*($B$10+0)))-MAX((($B$5*(1+C$60))*$B$7+($B$5*(1+C$60))*$B$8-$B$9-(($B$12+$B64/2)*($B$10+0))),0)*$B$11)-$B$18)*(1-$B$16)-Inputs!$B$6*$B$17)&gt;0,($B$14+$B64)/($B$15+(((($B$5*(1+C$60))*$B$7+($B$5*(1+C$60))*$B$8-$B$9-(($B$12+$B64/2)*($B$10+0)))-MAX((($B$5*(1+C$60))*$B$7+($B$5*(1+C$60))*$B$8-$B$9-(($B$12+$B64/2)*($B$10+0))),0)*$B$11)-$B$18)*(1-$B$16)-Inputs!$B$6*$B$17),"n.m.")</f>
        <v>1.62623365848679</v>
      </c>
      <c r="D64" s="42" t="n">
        <f aca="false">IF(($B$15+(((($B$5*(1+D$60))*$B$7+($B$5*(1+D$60))*$B$8-$B$9-(($B$12+$B64/2)*($B$10+0)))-MAX((($B$5*(1+D$60))*$B$7+($B$5*(1+D$60))*$B$8-$B$9-(($B$12+$B64/2)*($B$10+0))),0)*$B$11)-$B$18)*(1-$B$16)-Inputs!$B$6*$B$17)&gt;0,($B$14+$B64)/($B$15+(((($B$5*(1+D$60))*$B$7+($B$5*(1+D$60))*$B$8-$B$9-(($B$12+$B64/2)*($B$10+0)))-MAX((($B$5*(1+D$60))*$B$7+($B$5*(1+D$60))*$B$8-$B$9-(($B$12+$B64/2)*($B$10+0))),0)*$B$11)-$B$18)*(1-$B$16)-Inputs!$B$6*$B$17),"n.m.")</f>
        <v>1.61689056733421</v>
      </c>
      <c r="E64" s="42" t="n">
        <f aca="false">IF(($B$15+(((($B$5*(1+E$60))*$B$7+($B$5*(1+E$60))*$B$8-$B$9-(($B$12+$B64/2)*($B$10+0)))-MAX((($B$5*(1+E$60))*$B$7+($B$5*(1+E$60))*$B$8-$B$9-(($B$12+$B64/2)*($B$10+0))),0)*$B$11)-$B$18)*(1-$B$16)-Inputs!$B$6*$B$17)&gt;0,($B$14+$B64)/($B$15+(((($B$5*(1+E$60))*$B$7+($B$5*(1+E$60))*$B$8-$B$9-(($B$12+$B64/2)*($B$10+0)))-MAX((($B$5*(1+E$60))*$B$7+($B$5*(1+E$60))*$B$8-$B$9-(($B$12+$B64/2)*($B$10+0))),0)*$B$11)-$B$18)*(1-$B$16)-Inputs!$B$6*$B$17),"n.m.")</f>
        <v>1.60765421938681</v>
      </c>
      <c r="F64" s="42" t="n">
        <f aca="false">IF(($B$15+(((($B$5*(1+F$60))*$B$7+($B$5*(1+F$60))*$B$8-$B$9-(($B$12+$B64/2)*($B$10+0)))-MAX((($B$5*(1+F$60))*$B$7+($B$5*(1+F$60))*$B$8-$B$9-(($B$12+$B64/2)*($B$10+0))),0)*$B$11)-$B$18)*(1-$B$16)-Inputs!$B$6*$B$17)&gt;0,($B$14+$B64)/($B$15+(((($B$5*(1+F$60))*$B$7+($B$5*(1+F$60))*$B$8-$B$9-(($B$12+$B64/2)*($B$10+0)))-MAX((($B$5*(1+F$60))*$B$7+($B$5*(1+F$60))*$B$8-$B$9-(($B$12+$B64/2)*($B$10+0))),0)*$B$11)-$B$18)*(1-$B$16)-Inputs!$B$6*$B$17),"n.m.")</f>
        <v>1.5985227957508</v>
      </c>
      <c r="G64" s="42" t="n">
        <f aca="false">IF(($B$15+(((($B$5*(1+G$60))*$B$7+($B$5*(1+G$60))*$B$8-$B$9-(($B$12+$B64/2)*($B$10+0)))-MAX((($B$5*(1+G$60))*$B$7+($B$5*(1+G$60))*$B$8-$B$9-(($B$12+$B64/2)*($B$10+0))),0)*$B$11)-$B$18)*(1-$B$16)-Inputs!$B$6*$B$17)&gt;0,($B$14+$B64)/($B$15+(((($B$5*(1+G$60))*$B$7+($B$5*(1+G$60))*$B$8-$B$9-(($B$12+$B64/2)*($B$10+0)))-MAX((($B$5*(1+G$60))*$B$7+($B$5*(1+G$60))*$B$8-$B$9-(($B$12+$B64/2)*($B$10+0))),0)*$B$11)-$B$18)*(1-$B$16)-Inputs!$B$6*$B$17),"n.m.")</f>
        <v>1.58949451862401</v>
      </c>
      <c r="H64" s="42" t="n">
        <f aca="false">IF(($B$15+(((($B$5*(1+H$60))*$B$7+($B$5*(1+H$60))*$B$8-$B$9-(($B$12+$B64/2)*($B$10+0)))-MAX((($B$5*(1+H$60))*$B$7+($B$5*(1+H$60))*$B$8-$B$9-(($B$12+$B64/2)*($B$10+0))),0)*$B$11)-$B$18)*(1-$B$16)-Inputs!$B$6*$B$17)&gt;0,($B$14+$B64)/($B$15+(((($B$5*(1+H$60))*$B$7+($B$5*(1+H$60))*$B$8-$B$9-(($B$12+$B64/2)*($B$10+0)))-MAX((($B$5*(1+H$60))*$B$7+($B$5*(1+H$60))*$B$8-$B$9-(($B$12+$B64/2)*($B$10+0))),0)*$B$11)-$B$18)*(1-$B$16)-Inputs!$B$6*$B$17),"n.m.")</f>
        <v>1.58056765014202</v>
      </c>
    </row>
    <row r="65" customFormat="false" ht="15" hidden="false" customHeight="false" outlineLevel="0" collapsed="false">
      <c r="A65" s="43" t="n">
        <v>5000</v>
      </c>
      <c r="B65" s="44" t="n">
        <f aca="false">A65</f>
        <v>5000</v>
      </c>
      <c r="C65" s="42" t="n">
        <f aca="false">IF(($B$15+(((($B$5*(1+C$60))*$B$7+($B$5*(1+C$60))*$B$8-$B$9-(($B$12+$B65/2)*($B$10+0)))-MAX((($B$5*(1+C$60))*$B$7+($B$5*(1+C$60))*$B$8-$B$9-(($B$12+$B65/2)*($B$10+0))),0)*$B$11)-$B$18)*(1-$B$16)-Inputs!$B$6*$B$17)&gt;0,($B$14+$B65)/($B$15+(((($B$5*(1+C$60))*$B$7+($B$5*(1+C$60))*$B$8-$B$9-(($B$12+$B65/2)*($B$10+0)))-MAX((($B$5*(1+C$60))*$B$7+($B$5*(1+C$60))*$B$8-$B$9-(($B$12+$B65/2)*($B$10+0))),0)*$B$11)-$B$18)*(1-$B$16)-Inputs!$B$6*$B$17),"n.m.")</f>
        <v>1.7231833021799</v>
      </c>
      <c r="D65" s="42" t="n">
        <f aca="false">IF(($B$15+(((($B$5*(1+D$60))*$B$7+($B$5*(1+D$60))*$B$8-$B$9-(($B$12+$B65/2)*($B$10+0)))-MAX((($B$5*(1+D$60))*$B$7+($B$5*(1+D$60))*$B$8-$B$9-(($B$12+$B65/2)*($B$10+0))),0)*$B$11)-$B$18)*(1-$B$16)-Inputs!$B$6*$B$17)&gt;0,($B$14+$B65)/($B$15+(((($B$5*(1+D$60))*$B$7+($B$5*(1+D$60))*$B$8-$B$9-(($B$12+$B65/2)*($B$10+0)))-MAX((($B$5*(1+D$60))*$B$7+($B$5*(1+D$60))*$B$8-$B$9-(($B$12+$B65/2)*($B$10+0))),0)*$B$11)-$B$18)*(1-$B$16)-Inputs!$B$6*$B$17),"n.m.")</f>
        <v>1.71325977269295</v>
      </c>
      <c r="E65" s="42" t="n">
        <f aca="false">IF(($B$15+(((($B$5*(1+E$60))*$B$7+($B$5*(1+E$60))*$B$8-$B$9-(($B$12+$B65/2)*($B$10+0)))-MAX((($B$5*(1+E$60))*$B$7+($B$5*(1+E$60))*$B$8-$B$9-(($B$12+$B65/2)*($B$10+0))),0)*$B$11)-$B$18)*(1-$B$16)-Inputs!$B$6*$B$17)&gt;0,($B$14+$B65)/($B$15+(((($B$5*(1+E$60))*$B$7+($B$5*(1+E$60))*$B$8-$B$9-(($B$12+$B65/2)*($B$10+0)))-MAX((($B$5*(1+E$60))*$B$7+($B$5*(1+E$60))*$B$8-$B$9-(($B$12+$B65/2)*($B$10+0))),0)*$B$11)-$B$18)*(1-$B$16)-Inputs!$B$6*$B$17),"n.m.")</f>
        <v>1.70344988471462</v>
      </c>
      <c r="F65" s="42" t="n">
        <f aca="false">IF(($B$15+(((($B$5*(1+F$60))*$B$7+($B$5*(1+F$60))*$B$8-$B$9-(($B$12+$B65/2)*($B$10+0)))-MAX((($B$5*(1+F$60))*$B$7+($B$5*(1+F$60))*$B$8-$B$9-(($B$12+$B65/2)*($B$10+0))),0)*$B$11)-$B$18)*(1-$B$16)-Inputs!$B$6*$B$17)&gt;0,($B$14+$B65)/($B$15+(((($B$5*(1+F$60))*$B$7+($B$5*(1+F$60))*$B$8-$B$9-(($B$12+$B65/2)*($B$10+0)))-MAX((($B$5*(1+F$60))*$B$7+($B$5*(1+F$60))*$B$8-$B$9-(($B$12+$B65/2)*($B$10+0))),0)*$B$11)-$B$18)*(1-$B$16)-Inputs!$B$6*$B$17),"n.m.")</f>
        <v>1.69375169727207</v>
      </c>
      <c r="G65" s="42" t="n">
        <f aca="false">IF(($B$15+(((($B$5*(1+G$60))*$B$7+($B$5*(1+G$60))*$B$8-$B$9-(($B$12+$B65/2)*($B$10+0)))-MAX((($B$5*(1+G$60))*$B$7+($B$5*(1+G$60))*$B$8-$B$9-(($B$12+$B65/2)*($B$10+0))),0)*$B$11)-$B$18)*(1-$B$16)-Inputs!$B$6*$B$17)&gt;0,($B$14+$B65)/($B$15+(((($B$5*(1+G$60))*$B$7+($B$5*(1+G$60))*$B$8-$B$9-(($B$12+$B65/2)*($B$10+0)))-MAX((($B$5*(1+G$60))*$B$7+($B$5*(1+G$60))*$B$8-$B$9-(($B$12+$B65/2)*($B$10+0))),0)*$B$11)-$B$18)*(1-$B$16)-Inputs!$B$6*$B$17),"n.m.")</f>
        <v>1.68416331334412</v>
      </c>
      <c r="H65" s="42" t="n">
        <f aca="false">IF(($B$15+(((($B$5*(1+H$60))*$B$7+($B$5*(1+H$60))*$B$8-$B$9-(($B$12+$B65/2)*($B$10+0)))-MAX((($B$5*(1+H$60))*$B$7+($B$5*(1+H$60))*$B$8-$B$9-(($B$12+$B65/2)*($B$10+0))),0)*$B$11)-$B$18)*(1-$B$16)-Inputs!$B$6*$B$17)&gt;0,($B$14+$B65)/($B$15+(((($B$5*(1+H$60))*$B$7+($B$5*(1+H$60))*$B$8-$B$9-(($B$12+$B65/2)*($B$10+0)))-MAX((($B$5*(1+H$60))*$B$7+($B$5*(1+H$60))*$B$8-$B$9-(($B$12+$B65/2)*($B$10+0))),0)*$B$11)-$B$18)*(1-$B$16)-Inputs!$B$6*$B$17),"n.m.")</f>
        <v>1.67468287862416</v>
      </c>
    </row>
    <row r="66" customFormat="false" ht="15" hidden="false" customHeight="false" outlineLevel="0" collapsed="false">
      <c r="A66" s="43" t="n">
        <v>8000</v>
      </c>
      <c r="B66" s="44" t="n">
        <f aca="false">A66</f>
        <v>8000</v>
      </c>
      <c r="C66" s="42" t="n">
        <f aca="false">IF(($B$15+(((($B$5*(1+C$60))*$B$7+($B$5*(1+C$60))*$B$8-$B$9-(($B$12+$B66/2)*($B$10+0)))-MAX((($B$5*(1+C$60))*$B$7+($B$5*(1+C$60))*$B$8-$B$9-(($B$12+$B66/2)*($B$10+0))),0)*$B$11)-$B$18)*(1-$B$16)-Inputs!$B$6*$B$17)&gt;0,($B$14+$B66)/($B$15+(((($B$5*(1+C$60))*$B$7+($B$5*(1+C$60))*$B$8-$B$9-(($B$12+$B66/2)*($B$10+0)))-MAX((($B$5*(1+C$60))*$B$7+($B$5*(1+C$60))*$B$8-$B$9-(($B$12+$B66/2)*($B$10+0))),0)*$B$11)-$B$18)*(1-$B$16)-Inputs!$B$6*$B$17),"n.m.")</f>
        <v>1.8694766466364</v>
      </c>
      <c r="D66" s="42" t="n">
        <f aca="false">IF(($B$15+(((($B$5*(1+D$60))*$B$7+($B$5*(1+D$60))*$B$8-$B$9-(($B$12+$B66/2)*($B$10+0)))-MAX((($B$5*(1+D$60))*$B$7+($B$5*(1+D$60))*$B$8-$B$9-(($B$12+$B66/2)*($B$10+0))),0)*$B$11)-$B$18)*(1-$B$16)-Inputs!$B$6*$B$17)&gt;0,($B$14+$B66)/($B$15+(((($B$5*(1+D$60))*$B$7+($B$5*(1+D$60))*$B$8-$B$9-(($B$12+$B66/2)*($B$10+0)))-MAX((($B$5*(1+D$60))*$B$7+($B$5*(1+D$60))*$B$8-$B$9-(($B$12+$B66/2)*($B$10+0))),0)*$B$11)-$B$18)*(1-$B$16)-Inputs!$B$6*$B$17),"n.m.")</f>
        <v>1.85867226616168</v>
      </c>
      <c r="E66" s="42" t="n">
        <f aca="false">IF(($B$15+(((($B$5*(1+E$60))*$B$7+($B$5*(1+E$60))*$B$8-$B$9-(($B$12+$B66/2)*($B$10+0)))-MAX((($B$5*(1+E$60))*$B$7+($B$5*(1+E$60))*$B$8-$B$9-(($B$12+$B66/2)*($B$10+0))),0)*$B$11)-$B$18)*(1-$B$16)-Inputs!$B$6*$B$17)&gt;0,($B$14+$B66)/($B$15+(((($B$5*(1+E$60))*$B$7+($B$5*(1+E$60))*$B$8-$B$9-(($B$12+$B66/2)*($B$10+0)))-MAX((($B$5*(1+E$60))*$B$7+($B$5*(1+E$60))*$B$8-$B$9-(($B$12+$B66/2)*($B$10+0))),0)*$B$11)-$B$18)*(1-$B$16)-Inputs!$B$6*$B$17),"n.m.")</f>
        <v>1.84799205291065</v>
      </c>
      <c r="F66" s="42" t="n">
        <f aca="false">IF(($B$15+(((($B$5*(1+F$60))*$B$7+($B$5*(1+F$60))*$B$8-$B$9-(($B$12+$B66/2)*($B$10+0)))-MAX((($B$5*(1+F$60))*$B$7+($B$5*(1+F$60))*$B$8-$B$9-(($B$12+$B66/2)*($B$10+0))),0)*$B$11)-$B$18)*(1-$B$16)-Inputs!$B$6*$B$17)&gt;0,($B$14+$B66)/($B$15+(((($B$5*(1+F$60))*$B$7+($B$5*(1+F$60))*$B$8-$B$9-(($B$12+$B66/2)*($B$10+0)))-MAX((($B$5*(1+F$60))*$B$7+($B$5*(1+F$60))*$B$8-$B$9-(($B$12+$B66/2)*($B$10+0))),0)*$B$11)-$B$18)*(1-$B$16)-Inputs!$B$6*$B$17),"n.m.")</f>
        <v>1.83743387866118</v>
      </c>
      <c r="G66" s="42" t="n">
        <f aca="false">IF(($B$15+(((($B$5*(1+G$60))*$B$7+($B$5*(1+G$60))*$B$8-$B$9-(($B$12+$B66/2)*($B$10+0)))-MAX((($B$5*(1+G$60))*$B$7+($B$5*(1+G$60))*$B$8-$B$9-(($B$12+$B66/2)*($B$10+0))),0)*$B$11)-$B$18)*(1-$B$16)-Inputs!$B$6*$B$17)&gt;0,($B$14+$B66)/($B$15+(((($B$5*(1+G$60))*$B$7+($B$5*(1+G$60))*$B$8-$B$9-(($B$12+$B66/2)*($B$10+0)))-MAX((($B$5*(1+G$60))*$B$7+($B$5*(1+G$60))*$B$8-$B$9-(($B$12+$B66/2)*($B$10+0))),0)*$B$11)-$B$18)*(1-$B$16)-Inputs!$B$6*$B$17),"n.m.")</f>
        <v>1.82699566355176</v>
      </c>
      <c r="H66" s="42" t="n">
        <f aca="false">IF(($B$15+(((($B$5*(1+H$60))*$B$7+($B$5*(1+H$60))*$B$8-$B$9-(($B$12+$B66/2)*($B$10+0)))-MAX((($B$5*(1+H$60))*$B$7+($B$5*(1+H$60))*$B$8-$B$9-(($B$12+$B66/2)*($B$10+0))),0)*$B$11)-$B$18)*(1-$B$16)-Inputs!$B$6*$B$17)&gt;0,($B$14+$B66)/($B$15+(((($B$5*(1+H$60))*$B$7+($B$5*(1+H$60))*$B$8-$B$9-(($B$12+$B66/2)*($B$10+0)))-MAX((($B$5*(1+H$60))*$B$7+($B$5*(1+H$60))*$B$8-$B$9-(($B$12+$B66/2)*($B$10+0))),0)*$B$11)-$B$18)*(1-$B$16)-Inputs!$B$6*$B$17),"n.m.")</f>
        <v>1.81667537471552</v>
      </c>
    </row>
    <row r="69" customFormat="false" ht="15" hidden="false" customHeight="false" outlineLevel="0" collapsed="false">
      <c r="A69" s="2" t="s">
        <v>304</v>
      </c>
    </row>
  </sheetData>
  <conditionalFormatting sqref="C28:H33">
    <cfRule type="expression" priority="2" aboveAverage="0" equalAverage="0" bottom="0" percent="0" rank="0" text="" dxfId="0">
      <formula>AND(ISNUMBER(C28),C28&lt;Inputs!$B$7)</formula>
    </cfRule>
    <cfRule type="expression" priority="3" aboveAverage="0" equalAverage="0" bottom="0" percent="0" rank="0" text="" dxfId="1">
      <formula>AND(ISNUMBER(C28),C28&gt;=Inputs!$B$7)</formula>
    </cfRule>
  </conditionalFormatting>
  <conditionalFormatting sqref="C39:H44">
    <cfRule type="expression" priority="4" aboveAverage="0" equalAverage="0" bottom="0" percent="0" rank="0" text="" dxfId="0">
      <formula>AND(ISNUMBER(C39),C39&lt;Inputs!$B$7)</formula>
    </cfRule>
    <cfRule type="expression" priority="5" aboveAverage="0" equalAverage="0" bottom="0" percent="0" rank="0" text="" dxfId="1">
      <formula>AND(ISNUMBER(C39),C39&gt;=Inputs!$B$7)</formula>
    </cfRule>
  </conditionalFormatting>
  <conditionalFormatting sqref="C50:H55">
    <cfRule type="expression" priority="6" aboveAverage="0" equalAverage="0" bottom="0" percent="0" rank="0" text="" dxfId="0">
      <formula>AND(ISNUMBER(C50),C50&lt;Inputs!$B$10)</formula>
    </cfRule>
    <cfRule type="expression" priority="7" aboveAverage="0" equalAverage="0" bottom="0" percent="0" rank="0" text="" dxfId="1">
      <formula>AND(ISNUMBER(C50),C50&gt;=Inputs!$B$10)</formula>
    </cfRule>
  </conditionalFormatting>
  <conditionalFormatting sqref="C61:H66">
    <cfRule type="expression" priority="8" aboveAverage="0" equalAverage="0" bottom="0" percent="0" rank="0" text="" dxfId="0">
      <formula>AND(ISNUMBER(C61),C61&gt;Inputs!$B$9)</formula>
    </cfRule>
    <cfRule type="expression" priority="9" aboveAverage="0" equalAverage="0" bottom="0" percent="0" rank="0" text="" dxfId="1">
      <formula>AND(ISNUMBER(C61),C61&lt;=Inputs!$B$9)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2026-10-19T11:47:00Z</dcterms:created>
  <dc:creator>openpyxl</dc:creator>
  <dc:description/>
  <dc:language>en-US</dc:language>
  <cp:lastModifiedBy/>
  <dcterms:modified xsi:type="dcterms:W3CDTF">2026-10-19T11:47:00Z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